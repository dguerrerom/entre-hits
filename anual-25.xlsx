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D5000BPVT\!!!!!!\radio\EM\conteos\"/>
    </mc:Choice>
  </mc:AlternateContent>
  <xr:revisionPtr revIDLastSave="0" documentId="13_ncr:1_{569FBDF2-4A87-4343-924E-615A141E2A54}" xr6:coauthVersionLast="47" xr6:coauthVersionMax="47" xr10:uidLastSave="{00000000-0000-0000-0000-000000000000}"/>
  <bookViews>
    <workbookView xWindow="-120" yWindow="-120" windowWidth="21840" windowHeight="13020" xr2:uid="{01B0C911-4517-4867-9A52-2E8A4C4B912E}"/>
  </bookViews>
  <sheets>
    <sheet name="Data" sheetId="1" r:id="rId1"/>
    <sheet name="Anual" sheetId="4" r:id="rId2"/>
    <sheet name="Extra" sheetId="5" r:id="rId3"/>
  </sheets>
  <definedNames>
    <definedName name="_xlnm._FilterDatabase" localSheetId="0" hidden="1">Data!$A$1:$L$521</definedName>
  </definedNames>
  <calcPr calcId="191029"/>
  <pivotCaches>
    <pivotCache cacheId="6" r:id="rId4"/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21" i="1" l="1"/>
  <c r="K521" i="1"/>
  <c r="J521" i="1"/>
  <c r="H521" i="1"/>
  <c r="G521" i="1"/>
  <c r="I521" i="1" s="1"/>
  <c r="L520" i="1"/>
  <c r="K520" i="1"/>
  <c r="J520" i="1"/>
  <c r="H520" i="1"/>
  <c r="G520" i="1"/>
  <c r="I520" i="1" s="1"/>
  <c r="L519" i="1"/>
  <c r="K519" i="1"/>
  <c r="J519" i="1"/>
  <c r="H519" i="1"/>
  <c r="G519" i="1"/>
  <c r="I519" i="1" s="1"/>
  <c r="L518" i="1"/>
  <c r="K518" i="1"/>
  <c r="J518" i="1"/>
  <c r="H518" i="1"/>
  <c r="G518" i="1"/>
  <c r="I518" i="1" s="1"/>
  <c r="L517" i="1"/>
  <c r="K517" i="1"/>
  <c r="J517" i="1"/>
  <c r="H517" i="1"/>
  <c r="G517" i="1"/>
  <c r="I517" i="1" s="1"/>
  <c r="L516" i="1"/>
  <c r="K516" i="1"/>
  <c r="J516" i="1"/>
  <c r="H516" i="1"/>
  <c r="G516" i="1"/>
  <c r="I516" i="1" s="1"/>
  <c r="L515" i="1"/>
  <c r="K515" i="1"/>
  <c r="J515" i="1"/>
  <c r="H515" i="1"/>
  <c r="G515" i="1"/>
  <c r="I515" i="1" s="1"/>
  <c r="L514" i="1"/>
  <c r="K514" i="1"/>
  <c r="J514" i="1"/>
  <c r="H514" i="1"/>
  <c r="G514" i="1"/>
  <c r="I514" i="1" s="1"/>
  <c r="L513" i="1"/>
  <c r="K513" i="1"/>
  <c r="J513" i="1"/>
  <c r="H513" i="1"/>
  <c r="G513" i="1"/>
  <c r="I513" i="1" s="1"/>
  <c r="L512" i="1"/>
  <c r="K512" i="1"/>
  <c r="J512" i="1"/>
  <c r="H512" i="1"/>
  <c r="G512" i="1"/>
  <c r="I512" i="1" s="1"/>
  <c r="L511" i="1"/>
  <c r="K511" i="1"/>
  <c r="J511" i="1"/>
  <c r="H511" i="1"/>
  <c r="G511" i="1"/>
  <c r="I511" i="1" s="1"/>
  <c r="L510" i="1"/>
  <c r="K510" i="1"/>
  <c r="J510" i="1"/>
  <c r="H510" i="1"/>
  <c r="G510" i="1"/>
  <c r="I510" i="1" s="1"/>
  <c r="L509" i="1"/>
  <c r="K509" i="1"/>
  <c r="J509" i="1"/>
  <c r="H509" i="1"/>
  <c r="G509" i="1"/>
  <c r="I509" i="1" s="1"/>
  <c r="L508" i="1"/>
  <c r="K508" i="1"/>
  <c r="J508" i="1"/>
  <c r="H508" i="1"/>
  <c r="G508" i="1"/>
  <c r="I508" i="1" s="1"/>
  <c r="L507" i="1"/>
  <c r="K507" i="1"/>
  <c r="J507" i="1"/>
  <c r="H507" i="1"/>
  <c r="G507" i="1"/>
  <c r="I507" i="1" s="1"/>
  <c r="L506" i="1"/>
  <c r="K506" i="1"/>
  <c r="J506" i="1"/>
  <c r="H506" i="1"/>
  <c r="G506" i="1"/>
  <c r="I506" i="1" s="1"/>
  <c r="L505" i="1"/>
  <c r="K505" i="1"/>
  <c r="J505" i="1"/>
  <c r="H505" i="1"/>
  <c r="G505" i="1"/>
  <c r="I505" i="1" s="1"/>
  <c r="L504" i="1"/>
  <c r="K504" i="1"/>
  <c r="J504" i="1"/>
  <c r="H504" i="1"/>
  <c r="G504" i="1"/>
  <c r="I504" i="1" s="1"/>
  <c r="L503" i="1"/>
  <c r="K503" i="1"/>
  <c r="J503" i="1"/>
  <c r="H503" i="1"/>
  <c r="G503" i="1"/>
  <c r="I503" i="1" s="1"/>
  <c r="L502" i="1"/>
  <c r="K502" i="1"/>
  <c r="J502" i="1"/>
  <c r="H502" i="1"/>
  <c r="G502" i="1"/>
  <c r="I502" i="1" s="1"/>
  <c r="L501" i="1"/>
  <c r="K501" i="1"/>
  <c r="J501" i="1"/>
  <c r="H501" i="1"/>
  <c r="G501" i="1"/>
  <c r="I501" i="1" s="1"/>
  <c r="L500" i="1"/>
  <c r="K500" i="1"/>
  <c r="J500" i="1"/>
  <c r="H500" i="1"/>
  <c r="G500" i="1"/>
  <c r="I500" i="1" s="1"/>
  <c r="L499" i="1"/>
  <c r="K499" i="1"/>
  <c r="J499" i="1"/>
  <c r="H499" i="1"/>
  <c r="G499" i="1"/>
  <c r="I499" i="1" s="1"/>
  <c r="L498" i="1"/>
  <c r="K498" i="1"/>
  <c r="J498" i="1"/>
  <c r="H498" i="1"/>
  <c r="G498" i="1"/>
  <c r="I498" i="1" s="1"/>
  <c r="L497" i="1"/>
  <c r="K497" i="1"/>
  <c r="J497" i="1"/>
  <c r="H497" i="1"/>
  <c r="G497" i="1"/>
  <c r="I497" i="1" s="1"/>
  <c r="L496" i="1"/>
  <c r="K496" i="1"/>
  <c r="J496" i="1"/>
  <c r="H496" i="1"/>
  <c r="G496" i="1"/>
  <c r="I496" i="1" s="1"/>
  <c r="L495" i="1"/>
  <c r="K495" i="1"/>
  <c r="J495" i="1"/>
  <c r="H495" i="1"/>
  <c r="G495" i="1"/>
  <c r="I495" i="1" s="1"/>
  <c r="L494" i="1"/>
  <c r="K494" i="1"/>
  <c r="J494" i="1"/>
  <c r="H494" i="1"/>
  <c r="G494" i="1"/>
  <c r="I494" i="1" s="1"/>
  <c r="L493" i="1"/>
  <c r="K493" i="1"/>
  <c r="J493" i="1"/>
  <c r="H493" i="1"/>
  <c r="G493" i="1"/>
  <c r="I493" i="1" s="1"/>
  <c r="L492" i="1"/>
  <c r="K492" i="1"/>
  <c r="J492" i="1"/>
  <c r="H492" i="1"/>
  <c r="G492" i="1"/>
  <c r="I492" i="1" s="1"/>
  <c r="L491" i="1"/>
  <c r="K491" i="1"/>
  <c r="J491" i="1"/>
  <c r="H491" i="1"/>
  <c r="G491" i="1"/>
  <c r="I491" i="1" s="1"/>
  <c r="L490" i="1"/>
  <c r="K490" i="1"/>
  <c r="J490" i="1"/>
  <c r="H490" i="1"/>
  <c r="G490" i="1"/>
  <c r="I490" i="1" s="1"/>
  <c r="L489" i="1"/>
  <c r="K489" i="1"/>
  <c r="J489" i="1"/>
  <c r="H489" i="1"/>
  <c r="G489" i="1"/>
  <c r="I489" i="1" s="1"/>
  <c r="L488" i="1"/>
  <c r="K488" i="1"/>
  <c r="J488" i="1"/>
  <c r="H488" i="1"/>
  <c r="G488" i="1"/>
  <c r="I488" i="1" s="1"/>
  <c r="L487" i="1"/>
  <c r="K487" i="1"/>
  <c r="J487" i="1"/>
  <c r="H487" i="1"/>
  <c r="G487" i="1"/>
  <c r="I487" i="1" s="1"/>
  <c r="L486" i="1"/>
  <c r="K486" i="1"/>
  <c r="J486" i="1"/>
  <c r="H486" i="1"/>
  <c r="G486" i="1"/>
  <c r="I486" i="1" s="1"/>
  <c r="L485" i="1"/>
  <c r="K485" i="1"/>
  <c r="J485" i="1"/>
  <c r="H485" i="1"/>
  <c r="G485" i="1"/>
  <c r="I485" i="1" s="1"/>
  <c r="L484" i="1"/>
  <c r="K484" i="1"/>
  <c r="J484" i="1"/>
  <c r="H484" i="1"/>
  <c r="G484" i="1"/>
  <c r="I484" i="1" s="1"/>
  <c r="L483" i="1"/>
  <c r="K483" i="1"/>
  <c r="J483" i="1"/>
  <c r="H483" i="1"/>
  <c r="G483" i="1"/>
  <c r="I483" i="1" s="1"/>
  <c r="L482" i="1"/>
  <c r="K482" i="1"/>
  <c r="J482" i="1"/>
  <c r="H482" i="1"/>
  <c r="G482" i="1"/>
  <c r="I482" i="1" s="1"/>
  <c r="L481" i="1"/>
  <c r="K481" i="1"/>
  <c r="J481" i="1"/>
  <c r="H481" i="1"/>
  <c r="G481" i="1"/>
  <c r="I481" i="1" s="1"/>
  <c r="L480" i="1"/>
  <c r="K480" i="1"/>
  <c r="J480" i="1"/>
  <c r="H480" i="1"/>
  <c r="G480" i="1"/>
  <c r="I480" i="1" s="1"/>
  <c r="L479" i="1"/>
  <c r="K479" i="1"/>
  <c r="J479" i="1"/>
  <c r="H479" i="1"/>
  <c r="G479" i="1"/>
  <c r="I479" i="1" s="1"/>
  <c r="L478" i="1"/>
  <c r="K478" i="1"/>
  <c r="J478" i="1"/>
  <c r="H478" i="1"/>
  <c r="G478" i="1"/>
  <c r="I478" i="1" s="1"/>
  <c r="L477" i="1"/>
  <c r="K477" i="1"/>
  <c r="J477" i="1"/>
  <c r="H477" i="1"/>
  <c r="G477" i="1"/>
  <c r="I477" i="1" s="1"/>
  <c r="L476" i="1"/>
  <c r="K476" i="1"/>
  <c r="J476" i="1"/>
  <c r="H476" i="1"/>
  <c r="G476" i="1"/>
  <c r="I476" i="1" s="1"/>
  <c r="L475" i="1"/>
  <c r="K475" i="1"/>
  <c r="J475" i="1"/>
  <c r="H475" i="1"/>
  <c r="G475" i="1"/>
  <c r="I475" i="1" s="1"/>
  <c r="L474" i="1"/>
  <c r="K474" i="1"/>
  <c r="J474" i="1"/>
  <c r="H474" i="1"/>
  <c r="G474" i="1"/>
  <c r="I474" i="1" s="1"/>
  <c r="L473" i="1"/>
  <c r="K473" i="1"/>
  <c r="J473" i="1"/>
  <c r="H473" i="1"/>
  <c r="G473" i="1"/>
  <c r="I473" i="1" s="1"/>
  <c r="L472" i="1"/>
  <c r="K472" i="1"/>
  <c r="J472" i="1"/>
  <c r="H472" i="1"/>
  <c r="G472" i="1"/>
  <c r="I472" i="1" s="1"/>
  <c r="L471" i="1"/>
  <c r="K471" i="1"/>
  <c r="J471" i="1"/>
  <c r="H471" i="1"/>
  <c r="G471" i="1"/>
  <c r="I471" i="1" s="1"/>
  <c r="L470" i="1"/>
  <c r="K470" i="1"/>
  <c r="J470" i="1"/>
  <c r="H470" i="1"/>
  <c r="G470" i="1"/>
  <c r="I470" i="1" s="1"/>
  <c r="L469" i="1"/>
  <c r="K469" i="1"/>
  <c r="J469" i="1"/>
  <c r="H469" i="1"/>
  <c r="G469" i="1"/>
  <c r="I469" i="1" s="1"/>
  <c r="L468" i="1"/>
  <c r="K468" i="1"/>
  <c r="J468" i="1"/>
  <c r="H468" i="1"/>
  <c r="G468" i="1"/>
  <c r="I468" i="1" s="1"/>
  <c r="L467" i="1"/>
  <c r="K467" i="1"/>
  <c r="J467" i="1"/>
  <c r="H467" i="1"/>
  <c r="G467" i="1"/>
  <c r="I467" i="1" s="1"/>
  <c r="L466" i="1"/>
  <c r="K466" i="1"/>
  <c r="J466" i="1"/>
  <c r="H466" i="1"/>
  <c r="G466" i="1"/>
  <c r="I466" i="1" s="1"/>
  <c r="L465" i="1"/>
  <c r="K465" i="1"/>
  <c r="J465" i="1"/>
  <c r="H465" i="1"/>
  <c r="G465" i="1"/>
  <c r="I465" i="1" s="1"/>
  <c r="L464" i="1"/>
  <c r="K464" i="1"/>
  <c r="J464" i="1"/>
  <c r="H464" i="1"/>
  <c r="G464" i="1"/>
  <c r="I464" i="1" s="1"/>
  <c r="L463" i="1"/>
  <c r="K463" i="1"/>
  <c r="J463" i="1"/>
  <c r="H463" i="1"/>
  <c r="G463" i="1"/>
  <c r="I463" i="1" s="1"/>
  <c r="L462" i="1"/>
  <c r="K462" i="1"/>
  <c r="J462" i="1"/>
  <c r="H462" i="1"/>
  <c r="G462" i="1"/>
  <c r="I462" i="1" s="1"/>
  <c r="L461" i="1"/>
  <c r="K461" i="1"/>
  <c r="J461" i="1"/>
  <c r="H461" i="1"/>
  <c r="G461" i="1"/>
  <c r="I461" i="1" s="1"/>
  <c r="L460" i="1"/>
  <c r="K460" i="1"/>
  <c r="J460" i="1"/>
  <c r="H460" i="1"/>
  <c r="G460" i="1"/>
  <c r="I460" i="1" s="1"/>
  <c r="L459" i="1"/>
  <c r="K459" i="1"/>
  <c r="J459" i="1"/>
  <c r="H459" i="1"/>
  <c r="G459" i="1"/>
  <c r="I459" i="1" s="1"/>
  <c r="L458" i="1"/>
  <c r="K458" i="1"/>
  <c r="J458" i="1"/>
  <c r="H458" i="1"/>
  <c r="G458" i="1"/>
  <c r="I458" i="1" s="1"/>
  <c r="L457" i="1"/>
  <c r="K457" i="1"/>
  <c r="J457" i="1"/>
  <c r="H457" i="1"/>
  <c r="G457" i="1"/>
  <c r="I457" i="1" s="1"/>
  <c r="L456" i="1"/>
  <c r="K456" i="1"/>
  <c r="J456" i="1"/>
  <c r="H456" i="1"/>
  <c r="G456" i="1"/>
  <c r="I456" i="1" s="1"/>
  <c r="L455" i="1"/>
  <c r="K455" i="1"/>
  <c r="J455" i="1"/>
  <c r="H455" i="1"/>
  <c r="G455" i="1"/>
  <c r="I455" i="1" s="1"/>
  <c r="L454" i="1"/>
  <c r="K454" i="1"/>
  <c r="J454" i="1"/>
  <c r="H454" i="1"/>
  <c r="G454" i="1"/>
  <c r="I454" i="1" s="1"/>
  <c r="L453" i="1"/>
  <c r="K453" i="1"/>
  <c r="J453" i="1"/>
  <c r="H453" i="1"/>
  <c r="G453" i="1"/>
  <c r="I453" i="1" s="1"/>
  <c r="L452" i="1"/>
  <c r="K452" i="1"/>
  <c r="J452" i="1"/>
  <c r="H452" i="1"/>
  <c r="G452" i="1"/>
  <c r="I452" i="1" s="1"/>
  <c r="L451" i="1"/>
  <c r="K451" i="1"/>
  <c r="J451" i="1"/>
  <c r="H451" i="1"/>
  <c r="G451" i="1"/>
  <c r="I451" i="1" s="1"/>
  <c r="L450" i="1"/>
  <c r="K450" i="1"/>
  <c r="J450" i="1"/>
  <c r="H450" i="1"/>
  <c r="G450" i="1"/>
  <c r="I450" i="1" s="1"/>
  <c r="L449" i="1"/>
  <c r="K449" i="1"/>
  <c r="J449" i="1"/>
  <c r="H449" i="1"/>
  <c r="G449" i="1"/>
  <c r="I449" i="1" s="1"/>
  <c r="L448" i="1"/>
  <c r="K448" i="1"/>
  <c r="J448" i="1"/>
  <c r="H448" i="1"/>
  <c r="G448" i="1"/>
  <c r="I448" i="1" s="1"/>
  <c r="L447" i="1"/>
  <c r="K447" i="1"/>
  <c r="J447" i="1"/>
  <c r="H447" i="1"/>
  <c r="G447" i="1"/>
  <c r="I447" i="1" s="1"/>
  <c r="L446" i="1"/>
  <c r="K446" i="1"/>
  <c r="J446" i="1"/>
  <c r="H446" i="1"/>
  <c r="G446" i="1"/>
  <c r="I446" i="1" s="1"/>
  <c r="L445" i="1"/>
  <c r="K445" i="1"/>
  <c r="J445" i="1"/>
  <c r="H445" i="1"/>
  <c r="G445" i="1"/>
  <c r="I445" i="1" s="1"/>
  <c r="L444" i="1"/>
  <c r="K444" i="1"/>
  <c r="J444" i="1"/>
  <c r="H444" i="1"/>
  <c r="G444" i="1"/>
  <c r="I444" i="1" s="1"/>
  <c r="L443" i="1"/>
  <c r="K443" i="1"/>
  <c r="J443" i="1"/>
  <c r="H443" i="1"/>
  <c r="G443" i="1"/>
  <c r="I443" i="1" s="1"/>
  <c r="L442" i="1"/>
  <c r="K442" i="1"/>
  <c r="J442" i="1"/>
  <c r="H442" i="1"/>
  <c r="G442" i="1"/>
  <c r="I442" i="1" s="1"/>
  <c r="L441" i="1"/>
  <c r="K441" i="1"/>
  <c r="J441" i="1"/>
  <c r="H441" i="1"/>
  <c r="G441" i="1"/>
  <c r="I441" i="1" s="1"/>
  <c r="L440" i="1"/>
  <c r="K440" i="1"/>
  <c r="J440" i="1"/>
  <c r="H440" i="1"/>
  <c r="G440" i="1"/>
  <c r="I440" i="1" s="1"/>
  <c r="L439" i="1"/>
  <c r="K439" i="1"/>
  <c r="J439" i="1"/>
  <c r="H439" i="1"/>
  <c r="G439" i="1"/>
  <c r="I439" i="1" s="1"/>
  <c r="L438" i="1"/>
  <c r="K438" i="1"/>
  <c r="J438" i="1"/>
  <c r="H438" i="1"/>
  <c r="G438" i="1"/>
  <c r="I438" i="1" s="1"/>
  <c r="L437" i="1"/>
  <c r="K437" i="1"/>
  <c r="J437" i="1"/>
  <c r="H437" i="1"/>
  <c r="G437" i="1"/>
  <c r="I437" i="1" s="1"/>
  <c r="L436" i="1"/>
  <c r="K436" i="1"/>
  <c r="J436" i="1"/>
  <c r="H436" i="1"/>
  <c r="G436" i="1"/>
  <c r="I436" i="1" s="1"/>
  <c r="L435" i="1"/>
  <c r="K435" i="1"/>
  <c r="J435" i="1"/>
  <c r="H435" i="1"/>
  <c r="G435" i="1"/>
  <c r="I435" i="1" s="1"/>
  <c r="L434" i="1"/>
  <c r="K434" i="1"/>
  <c r="J434" i="1"/>
  <c r="H434" i="1"/>
  <c r="G434" i="1"/>
  <c r="I434" i="1" s="1"/>
  <c r="L433" i="1"/>
  <c r="K433" i="1"/>
  <c r="J433" i="1"/>
  <c r="H433" i="1"/>
  <c r="G433" i="1"/>
  <c r="I433" i="1" s="1"/>
  <c r="L432" i="1"/>
  <c r="K432" i="1"/>
  <c r="J432" i="1"/>
  <c r="H432" i="1"/>
  <c r="G432" i="1"/>
  <c r="I432" i="1" s="1"/>
  <c r="L431" i="1"/>
  <c r="K431" i="1"/>
  <c r="J431" i="1"/>
  <c r="H431" i="1"/>
  <c r="G431" i="1"/>
  <c r="I431" i="1" s="1"/>
  <c r="L430" i="1"/>
  <c r="K430" i="1"/>
  <c r="J430" i="1"/>
  <c r="H430" i="1"/>
  <c r="G430" i="1"/>
  <c r="I430" i="1" s="1"/>
  <c r="L429" i="1"/>
  <c r="K429" i="1"/>
  <c r="J429" i="1"/>
  <c r="H429" i="1"/>
  <c r="G429" i="1"/>
  <c r="I429" i="1" s="1"/>
  <c r="L428" i="1"/>
  <c r="K428" i="1"/>
  <c r="J428" i="1"/>
  <c r="H428" i="1"/>
  <c r="G428" i="1"/>
  <c r="I428" i="1" s="1"/>
  <c r="L427" i="1"/>
  <c r="K427" i="1"/>
  <c r="J427" i="1"/>
  <c r="H427" i="1"/>
  <c r="G427" i="1"/>
  <c r="I427" i="1" s="1"/>
  <c r="L426" i="1"/>
  <c r="K426" i="1"/>
  <c r="J426" i="1"/>
  <c r="H426" i="1"/>
  <c r="G426" i="1"/>
  <c r="I426" i="1" s="1"/>
  <c r="L425" i="1"/>
  <c r="K425" i="1"/>
  <c r="J425" i="1"/>
  <c r="H425" i="1"/>
  <c r="G425" i="1"/>
  <c r="I425" i="1" s="1"/>
  <c r="L424" i="1"/>
  <c r="K424" i="1"/>
  <c r="J424" i="1"/>
  <c r="H424" i="1"/>
  <c r="G424" i="1"/>
  <c r="I424" i="1" s="1"/>
  <c r="L423" i="1"/>
  <c r="K423" i="1"/>
  <c r="J423" i="1"/>
  <c r="H423" i="1"/>
  <c r="G423" i="1"/>
  <c r="I423" i="1" s="1"/>
  <c r="L422" i="1"/>
  <c r="K422" i="1"/>
  <c r="J422" i="1"/>
  <c r="H422" i="1"/>
  <c r="G422" i="1"/>
  <c r="I422" i="1" s="1"/>
  <c r="L421" i="1"/>
  <c r="K421" i="1"/>
  <c r="J421" i="1"/>
  <c r="H421" i="1"/>
  <c r="G421" i="1"/>
  <c r="I421" i="1" s="1"/>
  <c r="L420" i="1"/>
  <c r="K420" i="1"/>
  <c r="J420" i="1"/>
  <c r="H420" i="1"/>
  <c r="G420" i="1"/>
  <c r="I420" i="1" s="1"/>
  <c r="L419" i="1"/>
  <c r="K419" i="1"/>
  <c r="J419" i="1"/>
  <c r="H419" i="1"/>
  <c r="G419" i="1"/>
  <c r="I419" i="1" s="1"/>
  <c r="L418" i="1"/>
  <c r="K418" i="1"/>
  <c r="J418" i="1"/>
  <c r="H418" i="1"/>
  <c r="G418" i="1"/>
  <c r="I418" i="1" s="1"/>
  <c r="L417" i="1"/>
  <c r="K417" i="1"/>
  <c r="J417" i="1"/>
  <c r="H417" i="1"/>
  <c r="G417" i="1"/>
  <c r="I417" i="1" s="1"/>
  <c r="L416" i="1"/>
  <c r="K416" i="1"/>
  <c r="J416" i="1"/>
  <c r="H416" i="1"/>
  <c r="G416" i="1"/>
  <c r="I416" i="1" s="1"/>
  <c r="L415" i="1"/>
  <c r="K415" i="1"/>
  <c r="J415" i="1"/>
  <c r="H415" i="1"/>
  <c r="G415" i="1"/>
  <c r="I415" i="1" s="1"/>
  <c r="L414" i="1"/>
  <c r="K414" i="1"/>
  <c r="J414" i="1"/>
  <c r="H414" i="1"/>
  <c r="G414" i="1"/>
  <c r="I414" i="1" s="1"/>
  <c r="L413" i="1"/>
  <c r="K413" i="1"/>
  <c r="J413" i="1"/>
  <c r="H413" i="1"/>
  <c r="G413" i="1"/>
  <c r="I413" i="1" s="1"/>
  <c r="L412" i="1"/>
  <c r="K412" i="1"/>
  <c r="J412" i="1"/>
  <c r="H412" i="1"/>
  <c r="G412" i="1"/>
  <c r="I412" i="1" s="1"/>
  <c r="L411" i="1"/>
  <c r="K411" i="1"/>
  <c r="J411" i="1"/>
  <c r="H411" i="1"/>
  <c r="G411" i="1"/>
  <c r="I411" i="1" s="1"/>
  <c r="L410" i="1"/>
  <c r="K410" i="1"/>
  <c r="J410" i="1"/>
  <c r="H410" i="1"/>
  <c r="G410" i="1"/>
  <c r="I410" i="1" s="1"/>
  <c r="L409" i="1"/>
  <c r="K409" i="1"/>
  <c r="J409" i="1"/>
  <c r="H409" i="1"/>
  <c r="G409" i="1"/>
  <c r="I409" i="1" s="1"/>
  <c r="L408" i="1"/>
  <c r="K408" i="1"/>
  <c r="J408" i="1"/>
  <c r="H408" i="1"/>
  <c r="G408" i="1"/>
  <c r="I408" i="1" s="1"/>
  <c r="L407" i="1"/>
  <c r="K407" i="1"/>
  <c r="J407" i="1"/>
  <c r="H407" i="1"/>
  <c r="G407" i="1"/>
  <c r="I407" i="1" s="1"/>
  <c r="L406" i="1"/>
  <c r="K406" i="1"/>
  <c r="J406" i="1"/>
  <c r="H406" i="1"/>
  <c r="G406" i="1"/>
  <c r="I406" i="1" s="1"/>
  <c r="L405" i="1"/>
  <c r="K405" i="1"/>
  <c r="J405" i="1"/>
  <c r="H405" i="1"/>
  <c r="G405" i="1"/>
  <c r="I405" i="1" s="1"/>
  <c r="L404" i="1"/>
  <c r="K404" i="1"/>
  <c r="J404" i="1"/>
  <c r="H404" i="1"/>
  <c r="G404" i="1"/>
  <c r="I404" i="1" s="1"/>
  <c r="L403" i="1"/>
  <c r="K403" i="1"/>
  <c r="J403" i="1"/>
  <c r="H403" i="1"/>
  <c r="G403" i="1"/>
  <c r="I403" i="1" s="1"/>
  <c r="L402" i="1"/>
  <c r="K402" i="1"/>
  <c r="J402" i="1"/>
  <c r="H402" i="1"/>
  <c r="G402" i="1"/>
  <c r="I402" i="1" s="1"/>
  <c r="L401" i="1"/>
  <c r="K401" i="1"/>
  <c r="J401" i="1"/>
  <c r="H401" i="1"/>
  <c r="G401" i="1"/>
  <c r="I401" i="1" s="1"/>
  <c r="L400" i="1"/>
  <c r="K400" i="1"/>
  <c r="J400" i="1"/>
  <c r="H400" i="1"/>
  <c r="G400" i="1"/>
  <c r="I400" i="1" s="1"/>
  <c r="L399" i="1"/>
  <c r="K399" i="1"/>
  <c r="J399" i="1"/>
  <c r="H399" i="1"/>
  <c r="G399" i="1"/>
  <c r="I399" i="1" s="1"/>
  <c r="L398" i="1"/>
  <c r="K398" i="1"/>
  <c r="J398" i="1"/>
  <c r="H398" i="1"/>
  <c r="G398" i="1"/>
  <c r="I398" i="1" s="1"/>
  <c r="L397" i="1"/>
  <c r="K397" i="1"/>
  <c r="J397" i="1"/>
  <c r="H397" i="1"/>
  <c r="G397" i="1"/>
  <c r="I397" i="1" s="1"/>
  <c r="L396" i="1"/>
  <c r="K396" i="1"/>
  <c r="J396" i="1"/>
  <c r="H396" i="1"/>
  <c r="G396" i="1"/>
  <c r="I396" i="1" s="1"/>
  <c r="L395" i="1"/>
  <c r="K395" i="1"/>
  <c r="J395" i="1"/>
  <c r="H395" i="1"/>
  <c r="G395" i="1"/>
  <c r="I395" i="1" s="1"/>
  <c r="L394" i="1"/>
  <c r="K394" i="1"/>
  <c r="J394" i="1"/>
  <c r="H394" i="1"/>
  <c r="G394" i="1"/>
  <c r="I394" i="1" s="1"/>
  <c r="L393" i="1"/>
  <c r="K393" i="1"/>
  <c r="J393" i="1"/>
  <c r="H393" i="1"/>
  <c r="G393" i="1"/>
  <c r="I393" i="1" s="1"/>
  <c r="L392" i="1"/>
  <c r="K392" i="1"/>
  <c r="J392" i="1"/>
  <c r="H392" i="1"/>
  <c r="G392" i="1"/>
  <c r="I392" i="1" s="1"/>
  <c r="L391" i="1"/>
  <c r="K391" i="1"/>
  <c r="J391" i="1"/>
  <c r="H391" i="1"/>
  <c r="G391" i="1"/>
  <c r="I391" i="1" s="1"/>
  <c r="L390" i="1"/>
  <c r="K390" i="1"/>
  <c r="J390" i="1"/>
  <c r="H390" i="1"/>
  <c r="G390" i="1"/>
  <c r="I390" i="1" s="1"/>
  <c r="L389" i="1"/>
  <c r="K389" i="1"/>
  <c r="J389" i="1"/>
  <c r="H389" i="1"/>
  <c r="G389" i="1"/>
  <c r="I389" i="1" s="1"/>
  <c r="L388" i="1"/>
  <c r="K388" i="1"/>
  <c r="J388" i="1"/>
  <c r="H388" i="1"/>
  <c r="G388" i="1"/>
  <c r="I388" i="1" s="1"/>
  <c r="L387" i="1"/>
  <c r="K387" i="1"/>
  <c r="J387" i="1"/>
  <c r="H387" i="1"/>
  <c r="G387" i="1"/>
  <c r="I387" i="1" s="1"/>
  <c r="L386" i="1"/>
  <c r="K386" i="1"/>
  <c r="J386" i="1"/>
  <c r="H386" i="1"/>
  <c r="G386" i="1"/>
  <c r="I386" i="1" s="1"/>
  <c r="L385" i="1"/>
  <c r="K385" i="1"/>
  <c r="J385" i="1"/>
  <c r="H385" i="1"/>
  <c r="G385" i="1"/>
  <c r="I385" i="1" s="1"/>
  <c r="L384" i="1"/>
  <c r="K384" i="1"/>
  <c r="J384" i="1"/>
  <c r="H384" i="1"/>
  <c r="G384" i="1"/>
  <c r="I384" i="1" s="1"/>
  <c r="L383" i="1"/>
  <c r="K383" i="1"/>
  <c r="J383" i="1"/>
  <c r="H383" i="1"/>
  <c r="G383" i="1"/>
  <c r="I383" i="1" s="1"/>
  <c r="L382" i="1"/>
  <c r="K382" i="1"/>
  <c r="J382" i="1"/>
  <c r="H382" i="1"/>
  <c r="G382" i="1"/>
  <c r="I382" i="1" s="1"/>
  <c r="L381" i="1"/>
  <c r="K381" i="1"/>
  <c r="J381" i="1"/>
  <c r="H381" i="1"/>
  <c r="G381" i="1"/>
  <c r="I381" i="1" s="1"/>
  <c r="L380" i="1"/>
  <c r="K380" i="1"/>
  <c r="J380" i="1"/>
  <c r="H380" i="1"/>
  <c r="G380" i="1"/>
  <c r="I380" i="1" s="1"/>
  <c r="L379" i="1"/>
  <c r="K379" i="1"/>
  <c r="J379" i="1"/>
  <c r="H379" i="1"/>
  <c r="G379" i="1"/>
  <c r="I379" i="1" s="1"/>
  <c r="L378" i="1"/>
  <c r="K378" i="1"/>
  <c r="J378" i="1"/>
  <c r="H378" i="1"/>
  <c r="G378" i="1"/>
  <c r="I378" i="1" s="1"/>
  <c r="L377" i="1"/>
  <c r="K377" i="1"/>
  <c r="J377" i="1"/>
  <c r="H377" i="1"/>
  <c r="G377" i="1"/>
  <c r="I377" i="1" s="1"/>
  <c r="L376" i="1"/>
  <c r="K376" i="1"/>
  <c r="J376" i="1"/>
  <c r="H376" i="1"/>
  <c r="G376" i="1"/>
  <c r="I376" i="1" s="1"/>
  <c r="L375" i="1"/>
  <c r="K375" i="1"/>
  <c r="J375" i="1"/>
  <c r="H375" i="1"/>
  <c r="G375" i="1"/>
  <c r="I375" i="1" s="1"/>
  <c r="L374" i="1"/>
  <c r="K374" i="1"/>
  <c r="J374" i="1"/>
  <c r="H374" i="1"/>
  <c r="G374" i="1"/>
  <c r="I374" i="1" s="1"/>
  <c r="L373" i="1"/>
  <c r="K373" i="1"/>
  <c r="J373" i="1"/>
  <c r="H373" i="1"/>
  <c r="G373" i="1"/>
  <c r="I373" i="1" s="1"/>
  <c r="L372" i="1"/>
  <c r="K372" i="1"/>
  <c r="J372" i="1"/>
  <c r="H372" i="1"/>
  <c r="G372" i="1"/>
  <c r="I372" i="1" s="1"/>
  <c r="L371" i="1"/>
  <c r="K371" i="1"/>
  <c r="J371" i="1"/>
  <c r="H371" i="1"/>
  <c r="G371" i="1"/>
  <c r="I371" i="1" s="1"/>
  <c r="L370" i="1"/>
  <c r="K370" i="1"/>
  <c r="J370" i="1"/>
  <c r="H370" i="1"/>
  <c r="G370" i="1"/>
  <c r="I370" i="1" s="1"/>
  <c r="L369" i="1"/>
  <c r="K369" i="1"/>
  <c r="J369" i="1"/>
  <c r="H369" i="1"/>
  <c r="G369" i="1"/>
  <c r="I369" i="1" s="1"/>
  <c r="L368" i="1"/>
  <c r="K368" i="1"/>
  <c r="J368" i="1"/>
  <c r="H368" i="1"/>
  <c r="G368" i="1"/>
  <c r="I368" i="1" s="1"/>
  <c r="L367" i="1"/>
  <c r="K367" i="1"/>
  <c r="J367" i="1"/>
  <c r="H367" i="1"/>
  <c r="G367" i="1"/>
  <c r="I367" i="1" s="1"/>
  <c r="L366" i="1"/>
  <c r="K366" i="1"/>
  <c r="J366" i="1"/>
  <c r="H366" i="1"/>
  <c r="G366" i="1"/>
  <c r="I366" i="1" s="1"/>
  <c r="L365" i="1"/>
  <c r="K365" i="1"/>
  <c r="J365" i="1"/>
  <c r="H365" i="1"/>
  <c r="G365" i="1"/>
  <c r="I365" i="1" s="1"/>
  <c r="L364" i="1"/>
  <c r="K364" i="1"/>
  <c r="J364" i="1"/>
  <c r="H364" i="1"/>
  <c r="G364" i="1"/>
  <c r="I364" i="1" s="1"/>
  <c r="L363" i="1"/>
  <c r="K363" i="1"/>
  <c r="J363" i="1"/>
  <c r="H363" i="1"/>
  <c r="G363" i="1"/>
  <c r="I363" i="1" s="1"/>
  <c r="L362" i="1"/>
  <c r="K362" i="1"/>
  <c r="J362" i="1"/>
  <c r="H362" i="1"/>
  <c r="G362" i="1"/>
  <c r="I362" i="1" s="1"/>
  <c r="L361" i="1"/>
  <c r="K361" i="1"/>
  <c r="J361" i="1"/>
  <c r="H361" i="1"/>
  <c r="G361" i="1"/>
  <c r="I361" i="1" s="1"/>
  <c r="L360" i="1"/>
  <c r="K360" i="1"/>
  <c r="J360" i="1"/>
  <c r="H360" i="1"/>
  <c r="G360" i="1"/>
  <c r="I360" i="1" s="1"/>
  <c r="L359" i="1"/>
  <c r="K359" i="1"/>
  <c r="J359" i="1"/>
  <c r="H359" i="1"/>
  <c r="G359" i="1"/>
  <c r="I359" i="1" s="1"/>
  <c r="L358" i="1"/>
  <c r="K358" i="1"/>
  <c r="J358" i="1"/>
  <c r="H358" i="1"/>
  <c r="G358" i="1"/>
  <c r="I358" i="1" s="1"/>
  <c r="L357" i="1"/>
  <c r="K357" i="1"/>
  <c r="J357" i="1"/>
  <c r="H357" i="1"/>
  <c r="G357" i="1"/>
  <c r="I357" i="1" s="1"/>
  <c r="L356" i="1"/>
  <c r="K356" i="1"/>
  <c r="J356" i="1"/>
  <c r="H356" i="1"/>
  <c r="G356" i="1"/>
  <c r="I356" i="1" s="1"/>
  <c r="L355" i="1"/>
  <c r="K355" i="1"/>
  <c r="J355" i="1"/>
  <c r="H355" i="1"/>
  <c r="G355" i="1"/>
  <c r="I355" i="1" s="1"/>
  <c r="L354" i="1"/>
  <c r="K354" i="1"/>
  <c r="J354" i="1"/>
  <c r="H354" i="1"/>
  <c r="G354" i="1"/>
  <c r="I354" i="1" s="1"/>
  <c r="L353" i="1"/>
  <c r="K353" i="1"/>
  <c r="J353" i="1"/>
  <c r="H353" i="1"/>
  <c r="G353" i="1"/>
  <c r="I353" i="1" s="1"/>
  <c r="L352" i="1"/>
  <c r="K352" i="1"/>
  <c r="J352" i="1"/>
  <c r="H352" i="1"/>
  <c r="G352" i="1"/>
  <c r="I352" i="1" s="1"/>
  <c r="L351" i="1"/>
  <c r="K351" i="1"/>
  <c r="J351" i="1"/>
  <c r="H351" i="1"/>
  <c r="G351" i="1"/>
  <c r="I351" i="1" s="1"/>
  <c r="L350" i="1"/>
  <c r="K350" i="1"/>
  <c r="J350" i="1"/>
  <c r="H350" i="1"/>
  <c r="G350" i="1"/>
  <c r="I350" i="1" s="1"/>
  <c r="L349" i="1"/>
  <c r="K349" i="1"/>
  <c r="J349" i="1"/>
  <c r="H349" i="1"/>
  <c r="G349" i="1"/>
  <c r="I349" i="1" s="1"/>
  <c r="L348" i="1"/>
  <c r="K348" i="1"/>
  <c r="J348" i="1"/>
  <c r="H348" i="1"/>
  <c r="G348" i="1"/>
  <c r="I348" i="1" s="1"/>
  <c r="L347" i="1"/>
  <c r="K347" i="1"/>
  <c r="J347" i="1"/>
  <c r="H347" i="1"/>
  <c r="G347" i="1"/>
  <c r="I347" i="1" s="1"/>
  <c r="L346" i="1"/>
  <c r="K346" i="1"/>
  <c r="J346" i="1"/>
  <c r="H346" i="1"/>
  <c r="G346" i="1"/>
  <c r="I346" i="1" s="1"/>
  <c r="L345" i="1"/>
  <c r="K345" i="1"/>
  <c r="J345" i="1"/>
  <c r="H345" i="1"/>
  <c r="G345" i="1"/>
  <c r="I345" i="1" s="1"/>
  <c r="L344" i="1"/>
  <c r="K344" i="1"/>
  <c r="J344" i="1"/>
  <c r="H344" i="1"/>
  <c r="G344" i="1"/>
  <c r="I344" i="1" s="1"/>
  <c r="L343" i="1"/>
  <c r="K343" i="1"/>
  <c r="J343" i="1"/>
  <c r="H343" i="1"/>
  <c r="G343" i="1"/>
  <c r="I343" i="1" s="1"/>
  <c r="L342" i="1"/>
  <c r="K342" i="1"/>
  <c r="J342" i="1"/>
  <c r="H342" i="1"/>
  <c r="G342" i="1"/>
  <c r="I342" i="1" s="1"/>
  <c r="L341" i="1"/>
  <c r="K341" i="1"/>
  <c r="J341" i="1"/>
  <c r="H341" i="1"/>
  <c r="G341" i="1"/>
  <c r="I341" i="1" s="1"/>
  <c r="L340" i="1"/>
  <c r="K340" i="1"/>
  <c r="J340" i="1"/>
  <c r="H340" i="1"/>
  <c r="G340" i="1"/>
  <c r="I340" i="1" s="1"/>
  <c r="L339" i="1"/>
  <c r="K339" i="1"/>
  <c r="J339" i="1"/>
  <c r="H339" i="1"/>
  <c r="G339" i="1"/>
  <c r="I339" i="1" s="1"/>
  <c r="L338" i="1"/>
  <c r="K338" i="1"/>
  <c r="J338" i="1"/>
  <c r="H338" i="1"/>
  <c r="G338" i="1"/>
  <c r="I338" i="1" s="1"/>
  <c r="L337" i="1"/>
  <c r="K337" i="1"/>
  <c r="J337" i="1"/>
  <c r="H337" i="1"/>
  <c r="G337" i="1"/>
  <c r="I337" i="1" s="1"/>
  <c r="L336" i="1"/>
  <c r="K336" i="1"/>
  <c r="J336" i="1"/>
  <c r="H336" i="1"/>
  <c r="G336" i="1"/>
  <c r="I336" i="1" s="1"/>
  <c r="L335" i="1"/>
  <c r="K335" i="1"/>
  <c r="J335" i="1"/>
  <c r="H335" i="1"/>
  <c r="G335" i="1"/>
  <c r="I335" i="1" s="1"/>
  <c r="L334" i="1"/>
  <c r="K334" i="1"/>
  <c r="J334" i="1"/>
  <c r="H334" i="1"/>
  <c r="G334" i="1"/>
  <c r="I334" i="1" s="1"/>
  <c r="L333" i="1"/>
  <c r="K333" i="1"/>
  <c r="J333" i="1"/>
  <c r="H333" i="1"/>
  <c r="G333" i="1"/>
  <c r="I333" i="1" s="1"/>
  <c r="L332" i="1"/>
  <c r="K332" i="1"/>
  <c r="J332" i="1"/>
  <c r="H332" i="1"/>
  <c r="G332" i="1"/>
  <c r="I332" i="1" s="1"/>
  <c r="L331" i="1"/>
  <c r="K331" i="1"/>
  <c r="J331" i="1"/>
  <c r="H331" i="1"/>
  <c r="G331" i="1"/>
  <c r="I331" i="1" s="1"/>
  <c r="L330" i="1"/>
  <c r="K330" i="1"/>
  <c r="J330" i="1"/>
  <c r="H330" i="1"/>
  <c r="G330" i="1"/>
  <c r="I330" i="1" s="1"/>
  <c r="L329" i="1"/>
  <c r="K329" i="1"/>
  <c r="J329" i="1"/>
  <c r="H329" i="1"/>
  <c r="G329" i="1"/>
  <c r="I329" i="1" s="1"/>
  <c r="L328" i="1"/>
  <c r="K328" i="1"/>
  <c r="J328" i="1"/>
  <c r="H328" i="1"/>
  <c r="G328" i="1"/>
  <c r="I328" i="1" s="1"/>
  <c r="L327" i="1"/>
  <c r="K327" i="1"/>
  <c r="J327" i="1"/>
  <c r="H327" i="1"/>
  <c r="G327" i="1"/>
  <c r="I327" i="1" s="1"/>
  <c r="L326" i="1"/>
  <c r="K326" i="1"/>
  <c r="J326" i="1"/>
  <c r="H326" i="1"/>
  <c r="G326" i="1"/>
  <c r="I326" i="1" s="1"/>
  <c r="L325" i="1"/>
  <c r="K325" i="1"/>
  <c r="J325" i="1"/>
  <c r="H325" i="1"/>
  <c r="G325" i="1"/>
  <c r="I325" i="1" s="1"/>
  <c r="L324" i="1"/>
  <c r="K324" i="1"/>
  <c r="J324" i="1"/>
  <c r="H324" i="1"/>
  <c r="G324" i="1"/>
  <c r="I324" i="1" s="1"/>
  <c r="L323" i="1"/>
  <c r="K323" i="1"/>
  <c r="J323" i="1"/>
  <c r="H323" i="1"/>
  <c r="G323" i="1"/>
  <c r="I323" i="1" s="1"/>
  <c r="L322" i="1"/>
  <c r="K322" i="1"/>
  <c r="J322" i="1"/>
  <c r="H322" i="1"/>
  <c r="G322" i="1"/>
  <c r="I322" i="1" s="1"/>
  <c r="L321" i="1"/>
  <c r="K321" i="1"/>
  <c r="J321" i="1"/>
  <c r="H321" i="1"/>
  <c r="G321" i="1"/>
  <c r="I321" i="1" s="1"/>
  <c r="L320" i="1"/>
  <c r="K320" i="1"/>
  <c r="J320" i="1"/>
  <c r="H320" i="1"/>
  <c r="G320" i="1"/>
  <c r="I320" i="1" s="1"/>
  <c r="L319" i="1"/>
  <c r="K319" i="1"/>
  <c r="J319" i="1"/>
  <c r="H319" i="1"/>
  <c r="G319" i="1"/>
  <c r="I319" i="1" s="1"/>
  <c r="L318" i="1"/>
  <c r="K318" i="1"/>
  <c r="J318" i="1"/>
  <c r="H318" i="1"/>
  <c r="G318" i="1"/>
  <c r="I318" i="1" s="1"/>
  <c r="L317" i="1"/>
  <c r="K317" i="1"/>
  <c r="J317" i="1"/>
  <c r="H317" i="1"/>
  <c r="G317" i="1"/>
  <c r="I317" i="1" s="1"/>
  <c r="L316" i="1"/>
  <c r="K316" i="1"/>
  <c r="J316" i="1"/>
  <c r="H316" i="1"/>
  <c r="G316" i="1"/>
  <c r="I316" i="1" s="1"/>
  <c r="L315" i="1"/>
  <c r="K315" i="1"/>
  <c r="J315" i="1"/>
  <c r="H315" i="1"/>
  <c r="G315" i="1"/>
  <c r="I315" i="1" s="1"/>
  <c r="L314" i="1"/>
  <c r="K314" i="1"/>
  <c r="J314" i="1"/>
  <c r="H314" i="1"/>
  <c r="G314" i="1"/>
  <c r="I314" i="1" s="1"/>
  <c r="L313" i="1"/>
  <c r="K313" i="1"/>
  <c r="J313" i="1"/>
  <c r="H313" i="1"/>
  <c r="G313" i="1"/>
  <c r="I313" i="1" s="1"/>
  <c r="L312" i="1"/>
  <c r="K312" i="1"/>
  <c r="J312" i="1"/>
  <c r="H312" i="1"/>
  <c r="G312" i="1"/>
  <c r="I312" i="1" s="1"/>
  <c r="L311" i="1"/>
  <c r="K311" i="1"/>
  <c r="J311" i="1"/>
  <c r="H311" i="1"/>
  <c r="G311" i="1"/>
  <c r="I311" i="1" s="1"/>
  <c r="L310" i="1"/>
  <c r="K310" i="1"/>
  <c r="J310" i="1"/>
  <c r="H310" i="1"/>
  <c r="G310" i="1"/>
  <c r="I310" i="1" s="1"/>
  <c r="L309" i="1"/>
  <c r="K309" i="1"/>
  <c r="J309" i="1"/>
  <c r="H309" i="1"/>
  <c r="G309" i="1"/>
  <c r="I309" i="1" s="1"/>
  <c r="L308" i="1"/>
  <c r="K308" i="1"/>
  <c r="J308" i="1"/>
  <c r="H308" i="1"/>
  <c r="G308" i="1"/>
  <c r="I308" i="1" s="1"/>
  <c r="L307" i="1"/>
  <c r="K307" i="1"/>
  <c r="J307" i="1"/>
  <c r="H307" i="1"/>
  <c r="G307" i="1"/>
  <c r="I307" i="1" s="1"/>
  <c r="L306" i="1"/>
  <c r="K306" i="1"/>
  <c r="J306" i="1"/>
  <c r="H306" i="1"/>
  <c r="G306" i="1"/>
  <c r="I306" i="1" s="1"/>
  <c r="L305" i="1"/>
  <c r="K305" i="1"/>
  <c r="J305" i="1"/>
  <c r="H305" i="1"/>
  <c r="G305" i="1"/>
  <c r="I305" i="1" s="1"/>
  <c r="L304" i="1"/>
  <c r="K304" i="1"/>
  <c r="J304" i="1"/>
  <c r="H304" i="1"/>
  <c r="G304" i="1"/>
  <c r="I304" i="1" s="1"/>
  <c r="L303" i="1"/>
  <c r="K303" i="1"/>
  <c r="J303" i="1"/>
  <c r="H303" i="1"/>
  <c r="G303" i="1"/>
  <c r="I303" i="1" s="1"/>
  <c r="L302" i="1"/>
  <c r="K302" i="1"/>
  <c r="J302" i="1"/>
  <c r="H302" i="1"/>
  <c r="G302" i="1"/>
  <c r="I302" i="1" s="1"/>
  <c r="L301" i="1"/>
  <c r="K301" i="1"/>
  <c r="J301" i="1"/>
  <c r="H301" i="1"/>
  <c r="G301" i="1"/>
  <c r="I301" i="1" s="1"/>
  <c r="L300" i="1"/>
  <c r="K300" i="1"/>
  <c r="J300" i="1"/>
  <c r="H300" i="1"/>
  <c r="G300" i="1"/>
  <c r="I300" i="1" s="1"/>
  <c r="L299" i="1"/>
  <c r="K299" i="1"/>
  <c r="J299" i="1"/>
  <c r="H299" i="1"/>
  <c r="G299" i="1"/>
  <c r="I299" i="1" s="1"/>
  <c r="L298" i="1"/>
  <c r="K298" i="1"/>
  <c r="J298" i="1"/>
  <c r="H298" i="1"/>
  <c r="G298" i="1"/>
  <c r="I298" i="1" s="1"/>
  <c r="L297" i="1"/>
  <c r="K297" i="1"/>
  <c r="J297" i="1"/>
  <c r="H297" i="1"/>
  <c r="G297" i="1"/>
  <c r="I297" i="1" s="1"/>
  <c r="L296" i="1"/>
  <c r="K296" i="1"/>
  <c r="J296" i="1"/>
  <c r="H296" i="1"/>
  <c r="G296" i="1"/>
  <c r="I296" i="1" s="1"/>
  <c r="L295" i="1"/>
  <c r="K295" i="1"/>
  <c r="J295" i="1"/>
  <c r="H295" i="1"/>
  <c r="G295" i="1"/>
  <c r="I295" i="1" s="1"/>
  <c r="L294" i="1"/>
  <c r="K294" i="1"/>
  <c r="J294" i="1"/>
  <c r="H294" i="1"/>
  <c r="G294" i="1"/>
  <c r="I294" i="1" s="1"/>
  <c r="L293" i="1"/>
  <c r="K293" i="1"/>
  <c r="J293" i="1"/>
  <c r="H293" i="1"/>
  <c r="G293" i="1"/>
  <c r="I293" i="1" s="1"/>
  <c r="L292" i="1"/>
  <c r="K292" i="1"/>
  <c r="J292" i="1"/>
  <c r="H292" i="1"/>
  <c r="G292" i="1"/>
  <c r="I292" i="1" s="1"/>
  <c r="L291" i="1"/>
  <c r="K291" i="1"/>
  <c r="J291" i="1"/>
  <c r="H291" i="1"/>
  <c r="G291" i="1"/>
  <c r="I291" i="1" s="1"/>
  <c r="L290" i="1"/>
  <c r="K290" i="1"/>
  <c r="J290" i="1"/>
  <c r="H290" i="1"/>
  <c r="G290" i="1"/>
  <c r="I290" i="1" s="1"/>
  <c r="L289" i="1"/>
  <c r="K289" i="1"/>
  <c r="J289" i="1"/>
  <c r="H289" i="1"/>
  <c r="G289" i="1"/>
  <c r="I289" i="1" s="1"/>
  <c r="L288" i="1"/>
  <c r="K288" i="1"/>
  <c r="J288" i="1"/>
  <c r="H288" i="1"/>
  <c r="G288" i="1"/>
  <c r="I288" i="1" s="1"/>
  <c r="L287" i="1"/>
  <c r="K287" i="1"/>
  <c r="J287" i="1"/>
  <c r="H287" i="1"/>
  <c r="G287" i="1"/>
  <c r="I287" i="1" s="1"/>
  <c r="L286" i="1"/>
  <c r="K286" i="1"/>
  <c r="J286" i="1"/>
  <c r="H286" i="1"/>
  <c r="G286" i="1"/>
  <c r="I286" i="1" s="1"/>
  <c r="L285" i="1"/>
  <c r="K285" i="1"/>
  <c r="J285" i="1"/>
  <c r="H285" i="1"/>
  <c r="G285" i="1"/>
  <c r="I285" i="1" s="1"/>
  <c r="L284" i="1"/>
  <c r="K284" i="1"/>
  <c r="J284" i="1"/>
  <c r="H284" i="1"/>
  <c r="G284" i="1"/>
  <c r="I284" i="1" s="1"/>
  <c r="L283" i="1"/>
  <c r="K283" i="1"/>
  <c r="J283" i="1"/>
  <c r="H283" i="1"/>
  <c r="G283" i="1"/>
  <c r="I283" i="1" s="1"/>
  <c r="L282" i="1"/>
  <c r="K282" i="1"/>
  <c r="J282" i="1"/>
  <c r="H282" i="1"/>
  <c r="G282" i="1"/>
  <c r="I282" i="1" s="1"/>
  <c r="L281" i="1"/>
  <c r="K281" i="1"/>
  <c r="J281" i="1"/>
  <c r="H281" i="1"/>
  <c r="G281" i="1"/>
  <c r="I281" i="1" s="1"/>
  <c r="L280" i="1"/>
  <c r="K280" i="1"/>
  <c r="J280" i="1"/>
  <c r="H280" i="1"/>
  <c r="G280" i="1"/>
  <c r="I280" i="1" s="1"/>
  <c r="L279" i="1"/>
  <c r="K279" i="1"/>
  <c r="J279" i="1"/>
  <c r="H279" i="1"/>
  <c r="G279" i="1"/>
  <c r="I279" i="1" s="1"/>
  <c r="L278" i="1"/>
  <c r="K278" i="1"/>
  <c r="J278" i="1"/>
  <c r="H278" i="1"/>
  <c r="G278" i="1"/>
  <c r="I278" i="1" s="1"/>
  <c r="L277" i="1"/>
  <c r="K277" i="1"/>
  <c r="J277" i="1"/>
  <c r="H277" i="1"/>
  <c r="G277" i="1"/>
  <c r="I277" i="1" s="1"/>
  <c r="L276" i="1"/>
  <c r="K276" i="1"/>
  <c r="J276" i="1"/>
  <c r="H276" i="1"/>
  <c r="G276" i="1"/>
  <c r="I276" i="1" s="1"/>
  <c r="L275" i="1"/>
  <c r="K275" i="1"/>
  <c r="J275" i="1"/>
  <c r="H275" i="1"/>
  <c r="G275" i="1"/>
  <c r="I275" i="1" s="1"/>
  <c r="L274" i="1"/>
  <c r="K274" i="1"/>
  <c r="J274" i="1"/>
  <c r="H274" i="1"/>
  <c r="G274" i="1"/>
  <c r="I274" i="1" s="1"/>
  <c r="L273" i="1"/>
  <c r="K273" i="1"/>
  <c r="J273" i="1"/>
  <c r="H273" i="1"/>
  <c r="G273" i="1"/>
  <c r="I273" i="1" s="1"/>
  <c r="L272" i="1"/>
  <c r="K272" i="1"/>
  <c r="J272" i="1"/>
  <c r="H272" i="1"/>
  <c r="G272" i="1"/>
  <c r="I272" i="1" s="1"/>
  <c r="L271" i="1"/>
  <c r="K271" i="1"/>
  <c r="J271" i="1"/>
  <c r="H271" i="1"/>
  <c r="G271" i="1"/>
  <c r="I271" i="1" s="1"/>
  <c r="L270" i="1"/>
  <c r="K270" i="1"/>
  <c r="J270" i="1"/>
  <c r="H270" i="1"/>
  <c r="G270" i="1"/>
  <c r="I270" i="1" s="1"/>
  <c r="L269" i="1"/>
  <c r="K269" i="1"/>
  <c r="J269" i="1"/>
  <c r="H269" i="1"/>
  <c r="G269" i="1"/>
  <c r="I269" i="1" s="1"/>
  <c r="L268" i="1"/>
  <c r="K268" i="1"/>
  <c r="J268" i="1"/>
  <c r="H268" i="1"/>
  <c r="G268" i="1"/>
  <c r="I268" i="1" s="1"/>
  <c r="L267" i="1"/>
  <c r="K267" i="1"/>
  <c r="J267" i="1"/>
  <c r="H267" i="1"/>
  <c r="G267" i="1"/>
  <c r="I267" i="1" s="1"/>
  <c r="L266" i="1"/>
  <c r="K266" i="1"/>
  <c r="J266" i="1"/>
  <c r="H266" i="1"/>
  <c r="G266" i="1"/>
  <c r="I266" i="1" s="1"/>
  <c r="L265" i="1"/>
  <c r="K265" i="1"/>
  <c r="J265" i="1"/>
  <c r="H265" i="1"/>
  <c r="G265" i="1"/>
  <c r="I265" i="1" s="1"/>
  <c r="L264" i="1"/>
  <c r="K264" i="1"/>
  <c r="J264" i="1"/>
  <c r="H264" i="1"/>
  <c r="G264" i="1"/>
  <c r="I264" i="1" s="1"/>
  <c r="L263" i="1"/>
  <c r="K263" i="1"/>
  <c r="J263" i="1"/>
  <c r="H263" i="1"/>
  <c r="G263" i="1"/>
  <c r="I263" i="1" s="1"/>
  <c r="L262" i="1"/>
  <c r="K262" i="1"/>
  <c r="J262" i="1"/>
  <c r="H262" i="1"/>
  <c r="G262" i="1"/>
  <c r="I262" i="1" s="1"/>
  <c r="L261" i="1"/>
  <c r="K261" i="1"/>
  <c r="J261" i="1"/>
  <c r="H261" i="1"/>
  <c r="G261" i="1"/>
  <c r="I261" i="1" s="1"/>
  <c r="L260" i="1"/>
  <c r="K260" i="1"/>
  <c r="J260" i="1"/>
  <c r="H260" i="1"/>
  <c r="G260" i="1"/>
  <c r="I260" i="1" s="1"/>
  <c r="L259" i="1"/>
  <c r="K259" i="1"/>
  <c r="J259" i="1"/>
  <c r="H259" i="1"/>
  <c r="G259" i="1"/>
  <c r="I259" i="1" s="1"/>
  <c r="L258" i="1"/>
  <c r="K258" i="1"/>
  <c r="J258" i="1"/>
  <c r="H258" i="1"/>
  <c r="G258" i="1"/>
  <c r="I258" i="1" s="1"/>
  <c r="L257" i="1"/>
  <c r="K257" i="1"/>
  <c r="J257" i="1"/>
  <c r="H257" i="1"/>
  <c r="G257" i="1"/>
  <c r="I257" i="1" s="1"/>
  <c r="L256" i="1"/>
  <c r="K256" i="1"/>
  <c r="J256" i="1"/>
  <c r="H256" i="1"/>
  <c r="G256" i="1"/>
  <c r="I256" i="1" s="1"/>
  <c r="L255" i="1"/>
  <c r="K255" i="1"/>
  <c r="J255" i="1"/>
  <c r="H255" i="1"/>
  <c r="G255" i="1"/>
  <c r="I255" i="1" s="1"/>
  <c r="L254" i="1"/>
  <c r="K254" i="1"/>
  <c r="J254" i="1"/>
  <c r="H254" i="1"/>
  <c r="G254" i="1"/>
  <c r="I254" i="1" s="1"/>
  <c r="L253" i="1"/>
  <c r="K253" i="1"/>
  <c r="J253" i="1"/>
  <c r="H253" i="1"/>
  <c r="G253" i="1"/>
  <c r="I253" i="1" s="1"/>
  <c r="L252" i="1"/>
  <c r="K252" i="1"/>
  <c r="J252" i="1"/>
  <c r="H252" i="1"/>
  <c r="G252" i="1"/>
  <c r="I252" i="1" s="1"/>
  <c r="L251" i="1"/>
  <c r="K251" i="1"/>
  <c r="J251" i="1"/>
  <c r="H251" i="1"/>
  <c r="G251" i="1"/>
  <c r="I251" i="1" s="1"/>
  <c r="L250" i="1"/>
  <c r="K250" i="1"/>
  <c r="J250" i="1"/>
  <c r="H250" i="1"/>
  <c r="G250" i="1"/>
  <c r="I250" i="1" s="1"/>
  <c r="L249" i="1"/>
  <c r="K249" i="1"/>
  <c r="J249" i="1"/>
  <c r="H249" i="1"/>
  <c r="G249" i="1"/>
  <c r="I249" i="1" s="1"/>
  <c r="L248" i="1"/>
  <c r="K248" i="1"/>
  <c r="J248" i="1"/>
  <c r="H248" i="1"/>
  <c r="G248" i="1"/>
  <c r="I248" i="1" s="1"/>
  <c r="L247" i="1"/>
  <c r="K247" i="1"/>
  <c r="J247" i="1"/>
  <c r="H247" i="1"/>
  <c r="G247" i="1"/>
  <c r="I247" i="1" s="1"/>
  <c r="L246" i="1"/>
  <c r="K246" i="1"/>
  <c r="J246" i="1"/>
  <c r="H246" i="1"/>
  <c r="G246" i="1"/>
  <c r="I246" i="1" s="1"/>
  <c r="L245" i="1"/>
  <c r="K245" i="1"/>
  <c r="J245" i="1"/>
  <c r="H245" i="1"/>
  <c r="G245" i="1"/>
  <c r="I245" i="1" s="1"/>
  <c r="L244" i="1"/>
  <c r="K244" i="1"/>
  <c r="J244" i="1"/>
  <c r="H244" i="1"/>
  <c r="G244" i="1"/>
  <c r="I244" i="1" s="1"/>
  <c r="L243" i="1"/>
  <c r="K243" i="1"/>
  <c r="J243" i="1"/>
  <c r="H243" i="1"/>
  <c r="G243" i="1"/>
  <c r="I243" i="1" s="1"/>
  <c r="L242" i="1"/>
  <c r="K242" i="1"/>
  <c r="J242" i="1"/>
  <c r="H242" i="1"/>
  <c r="G242" i="1"/>
  <c r="I242" i="1" s="1"/>
  <c r="L241" i="1"/>
  <c r="K241" i="1"/>
  <c r="J241" i="1"/>
  <c r="H241" i="1"/>
  <c r="G241" i="1"/>
  <c r="I241" i="1" s="1"/>
  <c r="L240" i="1"/>
  <c r="K240" i="1"/>
  <c r="J240" i="1"/>
  <c r="H240" i="1"/>
  <c r="G240" i="1"/>
  <c r="I240" i="1" s="1"/>
  <c r="L239" i="1"/>
  <c r="K239" i="1"/>
  <c r="J239" i="1"/>
  <c r="H239" i="1"/>
  <c r="G239" i="1"/>
  <c r="I239" i="1" s="1"/>
  <c r="L238" i="1"/>
  <c r="K238" i="1"/>
  <c r="J238" i="1"/>
  <c r="H238" i="1"/>
  <c r="G238" i="1"/>
  <c r="I238" i="1" s="1"/>
  <c r="L237" i="1"/>
  <c r="K237" i="1"/>
  <c r="J237" i="1"/>
  <c r="H237" i="1"/>
  <c r="G237" i="1"/>
  <c r="I237" i="1" s="1"/>
  <c r="L236" i="1"/>
  <c r="K236" i="1"/>
  <c r="J236" i="1"/>
  <c r="H236" i="1"/>
  <c r="G236" i="1"/>
  <c r="I236" i="1" s="1"/>
  <c r="L235" i="1"/>
  <c r="K235" i="1"/>
  <c r="J235" i="1"/>
  <c r="H235" i="1"/>
  <c r="G235" i="1"/>
  <c r="I235" i="1" s="1"/>
  <c r="L234" i="1"/>
  <c r="K234" i="1"/>
  <c r="J234" i="1"/>
  <c r="H234" i="1"/>
  <c r="G234" i="1"/>
  <c r="I234" i="1" s="1"/>
  <c r="L233" i="1"/>
  <c r="K233" i="1"/>
  <c r="J233" i="1"/>
  <c r="H233" i="1"/>
  <c r="G233" i="1"/>
  <c r="I233" i="1" s="1"/>
  <c r="L232" i="1"/>
  <c r="K232" i="1"/>
  <c r="J232" i="1"/>
  <c r="H232" i="1"/>
  <c r="G232" i="1"/>
  <c r="I232" i="1" s="1"/>
  <c r="L231" i="1"/>
  <c r="K231" i="1"/>
  <c r="J231" i="1"/>
  <c r="H231" i="1"/>
  <c r="G231" i="1"/>
  <c r="I231" i="1" s="1"/>
  <c r="L230" i="1"/>
  <c r="K230" i="1"/>
  <c r="J230" i="1"/>
  <c r="H230" i="1"/>
  <c r="G230" i="1"/>
  <c r="I230" i="1" s="1"/>
  <c r="L229" i="1"/>
  <c r="K229" i="1"/>
  <c r="J229" i="1"/>
  <c r="H229" i="1"/>
  <c r="G229" i="1"/>
  <c r="I229" i="1" s="1"/>
  <c r="L228" i="1"/>
  <c r="K228" i="1"/>
  <c r="J228" i="1"/>
  <c r="H228" i="1"/>
  <c r="G228" i="1"/>
  <c r="I228" i="1" s="1"/>
  <c r="L227" i="1"/>
  <c r="K227" i="1"/>
  <c r="J227" i="1"/>
  <c r="H227" i="1"/>
  <c r="G227" i="1"/>
  <c r="I227" i="1" s="1"/>
  <c r="L226" i="1"/>
  <c r="K226" i="1"/>
  <c r="J226" i="1"/>
  <c r="H226" i="1"/>
  <c r="G226" i="1"/>
  <c r="I226" i="1" s="1"/>
  <c r="L225" i="1"/>
  <c r="K225" i="1"/>
  <c r="J225" i="1"/>
  <c r="H225" i="1"/>
  <c r="G225" i="1"/>
  <c r="I225" i="1" s="1"/>
  <c r="L224" i="1"/>
  <c r="K224" i="1"/>
  <c r="J224" i="1"/>
  <c r="H224" i="1"/>
  <c r="G224" i="1"/>
  <c r="I224" i="1" s="1"/>
  <c r="L223" i="1"/>
  <c r="K223" i="1"/>
  <c r="J223" i="1"/>
  <c r="H223" i="1"/>
  <c r="G223" i="1"/>
  <c r="I223" i="1" s="1"/>
  <c r="L222" i="1"/>
  <c r="K222" i="1"/>
  <c r="J222" i="1"/>
  <c r="H222" i="1"/>
  <c r="G222" i="1"/>
  <c r="I222" i="1" s="1"/>
  <c r="L221" i="1"/>
  <c r="K221" i="1"/>
  <c r="J221" i="1"/>
  <c r="H221" i="1"/>
  <c r="G221" i="1"/>
  <c r="I221" i="1" s="1"/>
  <c r="L220" i="1"/>
  <c r="K220" i="1"/>
  <c r="J220" i="1"/>
  <c r="H220" i="1"/>
  <c r="G220" i="1"/>
  <c r="I220" i="1" s="1"/>
  <c r="L219" i="1"/>
  <c r="K219" i="1"/>
  <c r="J219" i="1"/>
  <c r="H219" i="1"/>
  <c r="G219" i="1"/>
  <c r="I219" i="1" s="1"/>
  <c r="L218" i="1"/>
  <c r="K218" i="1"/>
  <c r="J218" i="1"/>
  <c r="H218" i="1"/>
  <c r="G218" i="1"/>
  <c r="I218" i="1" s="1"/>
  <c r="L217" i="1"/>
  <c r="K217" i="1"/>
  <c r="J217" i="1"/>
  <c r="H217" i="1"/>
  <c r="G217" i="1"/>
  <c r="I217" i="1" s="1"/>
  <c r="L216" i="1"/>
  <c r="K216" i="1"/>
  <c r="J216" i="1"/>
  <c r="H216" i="1"/>
  <c r="G216" i="1"/>
  <c r="I216" i="1" s="1"/>
  <c r="L215" i="1"/>
  <c r="K215" i="1"/>
  <c r="J215" i="1"/>
  <c r="H215" i="1"/>
  <c r="G215" i="1"/>
  <c r="I215" i="1" s="1"/>
  <c r="L214" i="1"/>
  <c r="K214" i="1"/>
  <c r="J214" i="1"/>
  <c r="H214" i="1"/>
  <c r="G214" i="1"/>
  <c r="I214" i="1" s="1"/>
  <c r="L213" i="1"/>
  <c r="K213" i="1"/>
  <c r="J213" i="1"/>
  <c r="H213" i="1"/>
  <c r="G213" i="1"/>
  <c r="I213" i="1" s="1"/>
  <c r="L212" i="1"/>
  <c r="K212" i="1"/>
  <c r="J212" i="1"/>
  <c r="H212" i="1"/>
  <c r="G212" i="1"/>
  <c r="I212" i="1" s="1"/>
  <c r="L211" i="1"/>
  <c r="K211" i="1"/>
  <c r="J211" i="1"/>
  <c r="H211" i="1"/>
  <c r="G211" i="1"/>
  <c r="I211" i="1" s="1"/>
  <c r="L210" i="1"/>
  <c r="K210" i="1"/>
  <c r="J210" i="1"/>
  <c r="H210" i="1"/>
  <c r="G210" i="1"/>
  <c r="I210" i="1" s="1"/>
  <c r="L209" i="1"/>
  <c r="K209" i="1"/>
  <c r="J209" i="1"/>
  <c r="H209" i="1"/>
  <c r="G209" i="1"/>
  <c r="I209" i="1" s="1"/>
  <c r="L208" i="1"/>
  <c r="K208" i="1"/>
  <c r="J208" i="1"/>
  <c r="H208" i="1"/>
  <c r="G208" i="1"/>
  <c r="I208" i="1" s="1"/>
  <c r="L207" i="1"/>
  <c r="K207" i="1"/>
  <c r="J207" i="1"/>
  <c r="H207" i="1"/>
  <c r="G207" i="1"/>
  <c r="I207" i="1" s="1"/>
  <c r="L206" i="1"/>
  <c r="K206" i="1"/>
  <c r="J206" i="1"/>
  <c r="H206" i="1"/>
  <c r="G206" i="1"/>
  <c r="I206" i="1" s="1"/>
  <c r="L205" i="1"/>
  <c r="K205" i="1"/>
  <c r="J205" i="1"/>
  <c r="H205" i="1"/>
  <c r="G205" i="1"/>
  <c r="I205" i="1" s="1"/>
  <c r="L204" i="1"/>
  <c r="K204" i="1"/>
  <c r="J204" i="1"/>
  <c r="H204" i="1"/>
  <c r="G204" i="1"/>
  <c r="I204" i="1" s="1"/>
  <c r="L203" i="1"/>
  <c r="K203" i="1"/>
  <c r="J203" i="1"/>
  <c r="H203" i="1"/>
  <c r="G203" i="1"/>
  <c r="I203" i="1" s="1"/>
  <c r="L202" i="1"/>
  <c r="K202" i="1"/>
  <c r="J202" i="1"/>
  <c r="H202" i="1"/>
  <c r="G202" i="1"/>
  <c r="I202" i="1" s="1"/>
  <c r="L201" i="1"/>
  <c r="K201" i="1"/>
  <c r="J201" i="1"/>
  <c r="H201" i="1"/>
  <c r="G201" i="1"/>
  <c r="I201" i="1" s="1"/>
  <c r="L200" i="1"/>
  <c r="K200" i="1"/>
  <c r="J200" i="1"/>
  <c r="H200" i="1"/>
  <c r="G200" i="1"/>
  <c r="I200" i="1" s="1"/>
  <c r="L199" i="1"/>
  <c r="K199" i="1"/>
  <c r="J199" i="1"/>
  <c r="H199" i="1"/>
  <c r="G199" i="1"/>
  <c r="I199" i="1" s="1"/>
  <c r="L198" i="1"/>
  <c r="K198" i="1"/>
  <c r="J198" i="1"/>
  <c r="H198" i="1"/>
  <c r="G198" i="1"/>
  <c r="I198" i="1" s="1"/>
  <c r="L197" i="1"/>
  <c r="K197" i="1"/>
  <c r="J197" i="1"/>
  <c r="H197" i="1"/>
  <c r="G197" i="1"/>
  <c r="I197" i="1" s="1"/>
  <c r="L196" i="1"/>
  <c r="K196" i="1"/>
  <c r="J196" i="1"/>
  <c r="H196" i="1"/>
  <c r="G196" i="1"/>
  <c r="I196" i="1" s="1"/>
  <c r="L195" i="1"/>
  <c r="K195" i="1"/>
  <c r="J195" i="1"/>
  <c r="H195" i="1"/>
  <c r="G195" i="1"/>
  <c r="I195" i="1" s="1"/>
  <c r="L194" i="1"/>
  <c r="K194" i="1"/>
  <c r="J194" i="1"/>
  <c r="H194" i="1"/>
  <c r="G194" i="1"/>
  <c r="I194" i="1" s="1"/>
  <c r="L193" i="1"/>
  <c r="K193" i="1"/>
  <c r="J193" i="1"/>
  <c r="H193" i="1"/>
  <c r="G193" i="1"/>
  <c r="I193" i="1" s="1"/>
  <c r="L192" i="1"/>
  <c r="K192" i="1"/>
  <c r="J192" i="1"/>
  <c r="H192" i="1"/>
  <c r="G192" i="1"/>
  <c r="I192" i="1" s="1"/>
  <c r="L191" i="1"/>
  <c r="K191" i="1"/>
  <c r="J191" i="1"/>
  <c r="H191" i="1"/>
  <c r="G191" i="1"/>
  <c r="I191" i="1" s="1"/>
  <c r="L190" i="1"/>
  <c r="K190" i="1"/>
  <c r="J190" i="1"/>
  <c r="H190" i="1"/>
  <c r="G190" i="1"/>
  <c r="I190" i="1" s="1"/>
  <c r="L189" i="1"/>
  <c r="K189" i="1"/>
  <c r="J189" i="1"/>
  <c r="H189" i="1"/>
  <c r="G189" i="1"/>
  <c r="I189" i="1" s="1"/>
  <c r="L188" i="1"/>
  <c r="K188" i="1"/>
  <c r="J188" i="1"/>
  <c r="H188" i="1"/>
  <c r="G188" i="1"/>
  <c r="I188" i="1" s="1"/>
  <c r="L187" i="1"/>
  <c r="K187" i="1"/>
  <c r="J187" i="1"/>
  <c r="H187" i="1"/>
  <c r="G187" i="1"/>
  <c r="I187" i="1" s="1"/>
  <c r="L186" i="1"/>
  <c r="K186" i="1"/>
  <c r="J186" i="1"/>
  <c r="H186" i="1"/>
  <c r="G186" i="1"/>
  <c r="I186" i="1" s="1"/>
  <c r="L185" i="1"/>
  <c r="K185" i="1"/>
  <c r="J185" i="1"/>
  <c r="H185" i="1"/>
  <c r="G185" i="1"/>
  <c r="I185" i="1" s="1"/>
  <c r="L184" i="1"/>
  <c r="K184" i="1"/>
  <c r="J184" i="1"/>
  <c r="H184" i="1"/>
  <c r="G184" i="1"/>
  <c r="I184" i="1" s="1"/>
  <c r="L183" i="1"/>
  <c r="K183" i="1"/>
  <c r="J183" i="1"/>
  <c r="H183" i="1"/>
  <c r="G183" i="1"/>
  <c r="I183" i="1" s="1"/>
  <c r="L182" i="1"/>
  <c r="K182" i="1"/>
  <c r="J182" i="1"/>
  <c r="H182" i="1"/>
  <c r="G182" i="1"/>
  <c r="I182" i="1" s="1"/>
  <c r="L181" i="1"/>
  <c r="K181" i="1"/>
  <c r="J181" i="1"/>
  <c r="H181" i="1"/>
  <c r="G181" i="1"/>
  <c r="I181" i="1" s="1"/>
  <c r="L180" i="1"/>
  <c r="K180" i="1"/>
  <c r="J180" i="1"/>
  <c r="H180" i="1"/>
  <c r="G180" i="1"/>
  <c r="I180" i="1" s="1"/>
  <c r="L179" i="1"/>
  <c r="K179" i="1"/>
  <c r="J179" i="1"/>
  <c r="H179" i="1"/>
  <c r="G179" i="1"/>
  <c r="I179" i="1" s="1"/>
  <c r="L178" i="1"/>
  <c r="K178" i="1"/>
  <c r="J178" i="1"/>
  <c r="H178" i="1"/>
  <c r="G178" i="1"/>
  <c r="I178" i="1" s="1"/>
  <c r="L177" i="1"/>
  <c r="K177" i="1"/>
  <c r="J177" i="1"/>
  <c r="H177" i="1"/>
  <c r="G177" i="1"/>
  <c r="I177" i="1" s="1"/>
  <c r="L176" i="1"/>
  <c r="K176" i="1"/>
  <c r="J176" i="1"/>
  <c r="H176" i="1"/>
  <c r="G176" i="1"/>
  <c r="I176" i="1" s="1"/>
  <c r="L175" i="1"/>
  <c r="K175" i="1"/>
  <c r="J175" i="1"/>
  <c r="H175" i="1"/>
  <c r="G175" i="1"/>
  <c r="I175" i="1" s="1"/>
  <c r="L174" i="1"/>
  <c r="K174" i="1"/>
  <c r="J174" i="1"/>
  <c r="H174" i="1"/>
  <c r="G174" i="1"/>
  <c r="I174" i="1" s="1"/>
  <c r="L173" i="1"/>
  <c r="K173" i="1"/>
  <c r="J173" i="1"/>
  <c r="H173" i="1"/>
  <c r="G173" i="1"/>
  <c r="I173" i="1" s="1"/>
  <c r="L172" i="1"/>
  <c r="K172" i="1"/>
  <c r="J172" i="1"/>
  <c r="H172" i="1"/>
  <c r="G172" i="1"/>
  <c r="I172" i="1" s="1"/>
  <c r="L171" i="1"/>
  <c r="K171" i="1"/>
  <c r="J171" i="1"/>
  <c r="H171" i="1"/>
  <c r="G171" i="1"/>
  <c r="I171" i="1" s="1"/>
  <c r="L170" i="1"/>
  <c r="K170" i="1"/>
  <c r="J170" i="1"/>
  <c r="H170" i="1"/>
  <c r="G170" i="1"/>
  <c r="I170" i="1" s="1"/>
  <c r="L169" i="1"/>
  <c r="K169" i="1"/>
  <c r="J169" i="1"/>
  <c r="H169" i="1"/>
  <c r="G169" i="1"/>
  <c r="I169" i="1" s="1"/>
  <c r="L168" i="1"/>
  <c r="K168" i="1"/>
  <c r="J168" i="1"/>
  <c r="H168" i="1"/>
  <c r="G168" i="1"/>
  <c r="I168" i="1" s="1"/>
  <c r="L167" i="1"/>
  <c r="K167" i="1"/>
  <c r="J167" i="1"/>
  <c r="H167" i="1"/>
  <c r="G167" i="1"/>
  <c r="I167" i="1" s="1"/>
  <c r="L166" i="1"/>
  <c r="K166" i="1"/>
  <c r="J166" i="1"/>
  <c r="H166" i="1"/>
  <c r="G166" i="1"/>
  <c r="I166" i="1" s="1"/>
  <c r="L165" i="1"/>
  <c r="K165" i="1"/>
  <c r="J165" i="1"/>
  <c r="H165" i="1"/>
  <c r="G165" i="1"/>
  <c r="I165" i="1" s="1"/>
  <c r="L164" i="1"/>
  <c r="K164" i="1"/>
  <c r="J164" i="1"/>
  <c r="H164" i="1"/>
  <c r="G164" i="1"/>
  <c r="I164" i="1" s="1"/>
  <c r="L163" i="1"/>
  <c r="K163" i="1"/>
  <c r="J163" i="1"/>
  <c r="H163" i="1"/>
  <c r="G163" i="1"/>
  <c r="I163" i="1" s="1"/>
  <c r="L162" i="1"/>
  <c r="K162" i="1"/>
  <c r="J162" i="1"/>
  <c r="H162" i="1"/>
  <c r="G162" i="1"/>
  <c r="I162" i="1" s="1"/>
  <c r="L161" i="1"/>
  <c r="K161" i="1"/>
  <c r="J161" i="1"/>
  <c r="H161" i="1"/>
  <c r="G161" i="1"/>
  <c r="I161" i="1" s="1"/>
  <c r="L160" i="1"/>
  <c r="K160" i="1"/>
  <c r="J160" i="1"/>
  <c r="H160" i="1"/>
  <c r="G160" i="1"/>
  <c r="I160" i="1" s="1"/>
  <c r="L159" i="1"/>
  <c r="K159" i="1"/>
  <c r="J159" i="1"/>
  <c r="H159" i="1"/>
  <c r="G159" i="1"/>
  <c r="I159" i="1" s="1"/>
  <c r="L158" i="1"/>
  <c r="K158" i="1"/>
  <c r="J158" i="1"/>
  <c r="H158" i="1"/>
  <c r="G158" i="1"/>
  <c r="I158" i="1" s="1"/>
  <c r="L157" i="1"/>
  <c r="K157" i="1"/>
  <c r="J157" i="1"/>
  <c r="H157" i="1"/>
  <c r="G157" i="1"/>
  <c r="I157" i="1" s="1"/>
  <c r="L156" i="1"/>
  <c r="K156" i="1"/>
  <c r="J156" i="1"/>
  <c r="H156" i="1"/>
  <c r="G156" i="1"/>
  <c r="I156" i="1" s="1"/>
  <c r="L155" i="1"/>
  <c r="K155" i="1"/>
  <c r="J155" i="1"/>
  <c r="H155" i="1"/>
  <c r="G155" i="1"/>
  <c r="I155" i="1" s="1"/>
  <c r="L154" i="1"/>
  <c r="K154" i="1"/>
  <c r="J154" i="1"/>
  <c r="H154" i="1"/>
  <c r="G154" i="1"/>
  <c r="I154" i="1" s="1"/>
  <c r="L153" i="1"/>
  <c r="K153" i="1"/>
  <c r="J153" i="1"/>
  <c r="H153" i="1"/>
  <c r="G153" i="1"/>
  <c r="I153" i="1" s="1"/>
  <c r="L152" i="1"/>
  <c r="K152" i="1"/>
  <c r="J152" i="1"/>
  <c r="H152" i="1"/>
  <c r="G152" i="1"/>
  <c r="I152" i="1" s="1"/>
  <c r="L151" i="1"/>
  <c r="K151" i="1"/>
  <c r="J151" i="1"/>
  <c r="H151" i="1"/>
  <c r="G151" i="1"/>
  <c r="I151" i="1" s="1"/>
  <c r="L150" i="1"/>
  <c r="K150" i="1"/>
  <c r="J150" i="1"/>
  <c r="H150" i="1"/>
  <c r="G150" i="1"/>
  <c r="I150" i="1" s="1"/>
  <c r="L149" i="1"/>
  <c r="K149" i="1"/>
  <c r="J149" i="1"/>
  <c r="H149" i="1"/>
  <c r="G149" i="1"/>
  <c r="I149" i="1" s="1"/>
  <c r="L148" i="1"/>
  <c r="K148" i="1"/>
  <c r="J148" i="1"/>
  <c r="H148" i="1"/>
  <c r="G148" i="1"/>
  <c r="I148" i="1" s="1"/>
  <c r="L147" i="1"/>
  <c r="K147" i="1"/>
  <c r="J147" i="1"/>
  <c r="H147" i="1"/>
  <c r="G147" i="1"/>
  <c r="I147" i="1" s="1"/>
  <c r="L146" i="1"/>
  <c r="K146" i="1"/>
  <c r="J146" i="1"/>
  <c r="H146" i="1"/>
  <c r="G146" i="1"/>
  <c r="I146" i="1" s="1"/>
  <c r="L145" i="1"/>
  <c r="K145" i="1"/>
  <c r="J145" i="1"/>
  <c r="H145" i="1"/>
  <c r="G145" i="1"/>
  <c r="I145" i="1" s="1"/>
  <c r="L144" i="1"/>
  <c r="K144" i="1"/>
  <c r="J144" i="1"/>
  <c r="H144" i="1"/>
  <c r="G144" i="1"/>
  <c r="I144" i="1" s="1"/>
  <c r="L143" i="1"/>
  <c r="K143" i="1"/>
  <c r="J143" i="1"/>
  <c r="H143" i="1"/>
  <c r="G143" i="1"/>
  <c r="I143" i="1" s="1"/>
  <c r="L142" i="1"/>
  <c r="K142" i="1"/>
  <c r="J142" i="1"/>
  <c r="H142" i="1"/>
  <c r="G142" i="1"/>
  <c r="I142" i="1" s="1"/>
  <c r="L141" i="1"/>
  <c r="K141" i="1"/>
  <c r="J141" i="1"/>
  <c r="H141" i="1"/>
  <c r="G141" i="1"/>
  <c r="I141" i="1" s="1"/>
  <c r="L140" i="1"/>
  <c r="K140" i="1"/>
  <c r="J140" i="1"/>
  <c r="H140" i="1"/>
  <c r="G140" i="1"/>
  <c r="I140" i="1" s="1"/>
  <c r="L139" i="1"/>
  <c r="K139" i="1"/>
  <c r="J139" i="1"/>
  <c r="H139" i="1"/>
  <c r="G139" i="1"/>
  <c r="I139" i="1" s="1"/>
  <c r="L138" i="1"/>
  <c r="K138" i="1"/>
  <c r="J138" i="1"/>
  <c r="H138" i="1"/>
  <c r="G138" i="1"/>
  <c r="I138" i="1" s="1"/>
  <c r="L137" i="1"/>
  <c r="K137" i="1"/>
  <c r="J137" i="1"/>
  <c r="H137" i="1"/>
  <c r="G137" i="1"/>
  <c r="I137" i="1" s="1"/>
  <c r="L136" i="1"/>
  <c r="K136" i="1"/>
  <c r="J136" i="1"/>
  <c r="H136" i="1"/>
  <c r="G136" i="1"/>
  <c r="I136" i="1" s="1"/>
  <c r="L135" i="1"/>
  <c r="K135" i="1"/>
  <c r="J135" i="1"/>
  <c r="H135" i="1"/>
  <c r="G135" i="1"/>
  <c r="I135" i="1" s="1"/>
  <c r="L134" i="1"/>
  <c r="K134" i="1"/>
  <c r="J134" i="1"/>
  <c r="H134" i="1"/>
  <c r="G134" i="1"/>
  <c r="I134" i="1" s="1"/>
  <c r="L133" i="1"/>
  <c r="K133" i="1"/>
  <c r="J133" i="1"/>
  <c r="H133" i="1"/>
  <c r="G133" i="1"/>
  <c r="I133" i="1" s="1"/>
  <c r="L132" i="1"/>
  <c r="K132" i="1"/>
  <c r="J132" i="1"/>
  <c r="H132" i="1"/>
  <c r="G132" i="1"/>
  <c r="I132" i="1" s="1"/>
  <c r="L131" i="1"/>
  <c r="K131" i="1"/>
  <c r="J131" i="1"/>
  <c r="H131" i="1"/>
  <c r="G131" i="1"/>
  <c r="I131" i="1" s="1"/>
  <c r="L130" i="1"/>
  <c r="K130" i="1"/>
  <c r="J130" i="1"/>
  <c r="H130" i="1"/>
  <c r="G130" i="1"/>
  <c r="I130" i="1" s="1"/>
  <c r="L129" i="1"/>
  <c r="K129" i="1"/>
  <c r="J129" i="1"/>
  <c r="H129" i="1"/>
  <c r="G129" i="1"/>
  <c r="I129" i="1" s="1"/>
  <c r="L128" i="1"/>
  <c r="K128" i="1"/>
  <c r="J128" i="1"/>
  <c r="H128" i="1"/>
  <c r="G128" i="1"/>
  <c r="I128" i="1" s="1"/>
  <c r="L127" i="1"/>
  <c r="K127" i="1"/>
  <c r="J127" i="1"/>
  <c r="H127" i="1"/>
  <c r="G127" i="1"/>
  <c r="I127" i="1" s="1"/>
  <c r="L126" i="1"/>
  <c r="K126" i="1"/>
  <c r="J126" i="1"/>
  <c r="H126" i="1"/>
  <c r="G126" i="1"/>
  <c r="I126" i="1" s="1"/>
  <c r="L125" i="1"/>
  <c r="K125" i="1"/>
  <c r="J125" i="1"/>
  <c r="H125" i="1"/>
  <c r="G125" i="1"/>
  <c r="I125" i="1" s="1"/>
  <c r="L124" i="1"/>
  <c r="K124" i="1"/>
  <c r="J124" i="1"/>
  <c r="H124" i="1"/>
  <c r="G124" i="1"/>
  <c r="I124" i="1" s="1"/>
  <c r="L123" i="1"/>
  <c r="K123" i="1"/>
  <c r="J123" i="1"/>
  <c r="H123" i="1"/>
  <c r="G123" i="1"/>
  <c r="I123" i="1" s="1"/>
  <c r="L122" i="1"/>
  <c r="K122" i="1"/>
  <c r="J122" i="1"/>
  <c r="H122" i="1"/>
  <c r="G122" i="1"/>
  <c r="I122" i="1" s="1"/>
  <c r="L110" i="1"/>
  <c r="L121" i="1"/>
  <c r="K121" i="1"/>
  <c r="J121" i="1"/>
  <c r="H121" i="1"/>
  <c r="G121" i="1"/>
  <c r="I121" i="1" s="1"/>
  <c r="L120" i="1"/>
  <c r="K120" i="1"/>
  <c r="J120" i="1"/>
  <c r="H120" i="1"/>
  <c r="G120" i="1"/>
  <c r="I120" i="1" s="1"/>
  <c r="L119" i="1"/>
  <c r="K119" i="1"/>
  <c r="J119" i="1"/>
  <c r="H119" i="1"/>
  <c r="G119" i="1"/>
  <c r="I119" i="1" s="1"/>
  <c r="L118" i="1"/>
  <c r="K118" i="1"/>
  <c r="J118" i="1"/>
  <c r="H118" i="1"/>
  <c r="G118" i="1"/>
  <c r="I118" i="1" s="1"/>
  <c r="L117" i="1"/>
  <c r="K117" i="1"/>
  <c r="J117" i="1"/>
  <c r="H117" i="1"/>
  <c r="G117" i="1"/>
  <c r="I117" i="1" s="1"/>
  <c r="L116" i="1"/>
  <c r="K116" i="1"/>
  <c r="J116" i="1"/>
  <c r="H116" i="1"/>
  <c r="G116" i="1"/>
  <c r="I116" i="1" s="1"/>
  <c r="L115" i="1"/>
  <c r="K115" i="1"/>
  <c r="J115" i="1"/>
  <c r="H115" i="1"/>
  <c r="G115" i="1"/>
  <c r="I115" i="1" s="1"/>
  <c r="L114" i="1"/>
  <c r="K114" i="1"/>
  <c r="J114" i="1"/>
  <c r="H114" i="1"/>
  <c r="G114" i="1"/>
  <c r="I114" i="1" s="1"/>
  <c r="L113" i="1"/>
  <c r="K113" i="1"/>
  <c r="J113" i="1"/>
  <c r="H113" i="1"/>
  <c r="G113" i="1"/>
  <c r="I113" i="1" s="1"/>
  <c r="L112" i="1"/>
  <c r="K112" i="1"/>
  <c r="J112" i="1"/>
  <c r="H112" i="1"/>
  <c r="G112" i="1"/>
  <c r="I112" i="1" s="1"/>
  <c r="L111" i="1"/>
  <c r="K111" i="1"/>
  <c r="J111" i="1"/>
  <c r="H111" i="1"/>
  <c r="G111" i="1"/>
  <c r="I111" i="1" s="1"/>
  <c r="K110" i="1"/>
  <c r="J110" i="1"/>
  <c r="H110" i="1"/>
  <c r="G110" i="1"/>
  <c r="I110" i="1" s="1"/>
  <c r="L109" i="1"/>
  <c r="K109" i="1"/>
  <c r="J109" i="1"/>
  <c r="H109" i="1"/>
  <c r="G109" i="1"/>
  <c r="I109" i="1" s="1"/>
  <c r="L108" i="1"/>
  <c r="K108" i="1"/>
  <c r="J108" i="1"/>
  <c r="H108" i="1"/>
  <c r="G108" i="1"/>
  <c r="I108" i="1" s="1"/>
  <c r="L107" i="1"/>
  <c r="K107" i="1"/>
  <c r="J107" i="1"/>
  <c r="H107" i="1"/>
  <c r="G107" i="1"/>
  <c r="I107" i="1" s="1"/>
  <c r="L106" i="1"/>
  <c r="K106" i="1"/>
  <c r="J106" i="1"/>
  <c r="H106" i="1"/>
  <c r="G106" i="1"/>
  <c r="I106" i="1" s="1"/>
  <c r="L105" i="1"/>
  <c r="K105" i="1"/>
  <c r="J105" i="1"/>
  <c r="H105" i="1"/>
  <c r="G105" i="1"/>
  <c r="I105" i="1" s="1"/>
  <c r="L104" i="1"/>
  <c r="K104" i="1"/>
  <c r="J104" i="1"/>
  <c r="H104" i="1"/>
  <c r="G104" i="1"/>
  <c r="I104" i="1" s="1"/>
  <c r="L103" i="1"/>
  <c r="K103" i="1"/>
  <c r="J103" i="1"/>
  <c r="H103" i="1"/>
  <c r="G103" i="1"/>
  <c r="I103" i="1" s="1"/>
  <c r="L102" i="1"/>
  <c r="K102" i="1"/>
  <c r="J102" i="1"/>
  <c r="H102" i="1"/>
  <c r="G102" i="1"/>
  <c r="I102" i="1" s="1"/>
  <c r="L101" i="1"/>
  <c r="K101" i="1"/>
  <c r="J101" i="1"/>
  <c r="H101" i="1"/>
  <c r="G101" i="1"/>
  <c r="I101" i="1" s="1"/>
  <c r="L100" i="1"/>
  <c r="K100" i="1"/>
  <c r="J100" i="1"/>
  <c r="H100" i="1"/>
  <c r="G100" i="1"/>
  <c r="I100" i="1" s="1"/>
  <c r="L99" i="1"/>
  <c r="K99" i="1"/>
  <c r="J99" i="1"/>
  <c r="H99" i="1"/>
  <c r="G99" i="1"/>
  <c r="I99" i="1" s="1"/>
  <c r="L98" i="1"/>
  <c r="K98" i="1"/>
  <c r="J98" i="1"/>
  <c r="H98" i="1"/>
  <c r="G98" i="1"/>
  <c r="I98" i="1" s="1"/>
  <c r="L97" i="1"/>
  <c r="K97" i="1"/>
  <c r="J97" i="1"/>
  <c r="H97" i="1"/>
  <c r="G97" i="1"/>
  <c r="I97" i="1" s="1"/>
  <c r="L96" i="1"/>
  <c r="K96" i="1"/>
  <c r="J96" i="1"/>
  <c r="H96" i="1"/>
  <c r="G96" i="1"/>
  <c r="I96" i="1" s="1"/>
  <c r="L95" i="1"/>
  <c r="K95" i="1"/>
  <c r="J95" i="1"/>
  <c r="H95" i="1"/>
  <c r="G95" i="1"/>
  <c r="I95" i="1" s="1"/>
  <c r="L94" i="1"/>
  <c r="K94" i="1"/>
  <c r="J94" i="1"/>
  <c r="H94" i="1"/>
  <c r="G94" i="1"/>
  <c r="I94" i="1" s="1"/>
  <c r="L93" i="1"/>
  <c r="K93" i="1"/>
  <c r="J93" i="1"/>
  <c r="H93" i="1"/>
  <c r="G93" i="1"/>
  <c r="I93" i="1" s="1"/>
  <c r="L92" i="1"/>
  <c r="K92" i="1"/>
  <c r="J92" i="1"/>
  <c r="H92" i="1"/>
  <c r="G92" i="1"/>
  <c r="I92" i="1" s="1"/>
  <c r="L91" i="1"/>
  <c r="K91" i="1"/>
  <c r="J91" i="1"/>
  <c r="H91" i="1"/>
  <c r="G91" i="1"/>
  <c r="I91" i="1" s="1"/>
  <c r="L90" i="1"/>
  <c r="K90" i="1"/>
  <c r="J90" i="1"/>
  <c r="H90" i="1"/>
  <c r="G90" i="1"/>
  <c r="I90" i="1" s="1"/>
  <c r="L89" i="1"/>
  <c r="K89" i="1"/>
  <c r="J89" i="1"/>
  <c r="H89" i="1"/>
  <c r="G89" i="1"/>
  <c r="I89" i="1" s="1"/>
  <c r="L88" i="1"/>
  <c r="K88" i="1"/>
  <c r="J88" i="1"/>
  <c r="H88" i="1"/>
  <c r="G88" i="1"/>
  <c r="I88" i="1" s="1"/>
  <c r="L87" i="1"/>
  <c r="K87" i="1"/>
  <c r="J87" i="1"/>
  <c r="H87" i="1"/>
  <c r="G87" i="1"/>
  <c r="I87" i="1" s="1"/>
  <c r="L86" i="1"/>
  <c r="K86" i="1"/>
  <c r="J86" i="1"/>
  <c r="H86" i="1"/>
  <c r="G86" i="1"/>
  <c r="I86" i="1" s="1"/>
  <c r="L85" i="1"/>
  <c r="K85" i="1"/>
  <c r="J85" i="1"/>
  <c r="H85" i="1"/>
  <c r="G85" i="1"/>
  <c r="I85" i="1" s="1"/>
  <c r="L84" i="1"/>
  <c r="K84" i="1"/>
  <c r="J84" i="1"/>
  <c r="H84" i="1"/>
  <c r="G84" i="1"/>
  <c r="I84" i="1" s="1"/>
  <c r="L83" i="1"/>
  <c r="K83" i="1"/>
  <c r="J83" i="1"/>
  <c r="H83" i="1"/>
  <c r="G83" i="1"/>
  <c r="I83" i="1" s="1"/>
  <c r="L82" i="1"/>
  <c r="K82" i="1"/>
  <c r="J82" i="1"/>
  <c r="H82" i="1"/>
  <c r="G82" i="1"/>
  <c r="I82" i="1" s="1"/>
  <c r="L81" i="1"/>
  <c r="K81" i="1"/>
  <c r="J81" i="1"/>
  <c r="H81" i="1"/>
  <c r="G81" i="1"/>
  <c r="I81" i="1" s="1"/>
  <c r="L80" i="1"/>
  <c r="K80" i="1"/>
  <c r="J80" i="1"/>
  <c r="H80" i="1"/>
  <c r="G80" i="1"/>
  <c r="I80" i="1" s="1"/>
  <c r="L79" i="1"/>
  <c r="K79" i="1"/>
  <c r="J79" i="1"/>
  <c r="H79" i="1"/>
  <c r="G79" i="1"/>
  <c r="I79" i="1" s="1"/>
  <c r="L78" i="1"/>
  <c r="K78" i="1"/>
  <c r="J78" i="1"/>
  <c r="H78" i="1"/>
  <c r="G78" i="1"/>
  <c r="I78" i="1" s="1"/>
  <c r="L77" i="1"/>
  <c r="K77" i="1"/>
  <c r="J77" i="1"/>
  <c r="H77" i="1"/>
  <c r="G77" i="1"/>
  <c r="I77" i="1" s="1"/>
  <c r="L76" i="1"/>
  <c r="K76" i="1"/>
  <c r="J76" i="1"/>
  <c r="H76" i="1"/>
  <c r="G76" i="1"/>
  <c r="I76" i="1" s="1"/>
  <c r="L75" i="1"/>
  <c r="K75" i="1"/>
  <c r="J75" i="1"/>
  <c r="H75" i="1"/>
  <c r="G75" i="1"/>
  <c r="I75" i="1" s="1"/>
  <c r="L74" i="1"/>
  <c r="K74" i="1"/>
  <c r="J74" i="1"/>
  <c r="H74" i="1"/>
  <c r="G74" i="1"/>
  <c r="I74" i="1" s="1"/>
  <c r="L73" i="1"/>
  <c r="K73" i="1"/>
  <c r="J73" i="1"/>
  <c r="H73" i="1"/>
  <c r="G73" i="1"/>
  <c r="I73" i="1" s="1"/>
  <c r="L72" i="1"/>
  <c r="K72" i="1"/>
  <c r="J72" i="1"/>
  <c r="H72" i="1"/>
  <c r="G72" i="1"/>
  <c r="I72" i="1" s="1"/>
  <c r="L71" i="1"/>
  <c r="K71" i="1"/>
  <c r="J71" i="1"/>
  <c r="H71" i="1"/>
  <c r="G71" i="1"/>
  <c r="I71" i="1" s="1"/>
  <c r="L70" i="1"/>
  <c r="K70" i="1"/>
  <c r="J70" i="1"/>
  <c r="H70" i="1"/>
  <c r="G70" i="1"/>
  <c r="I70" i="1" s="1"/>
  <c r="L69" i="1"/>
  <c r="K69" i="1"/>
  <c r="J69" i="1"/>
  <c r="H69" i="1"/>
  <c r="G69" i="1"/>
  <c r="I69" i="1" s="1"/>
  <c r="L68" i="1"/>
  <c r="K68" i="1"/>
  <c r="J68" i="1"/>
  <c r="H68" i="1"/>
  <c r="G68" i="1"/>
  <c r="I68" i="1" s="1"/>
  <c r="L67" i="1"/>
  <c r="K67" i="1"/>
  <c r="J67" i="1"/>
  <c r="H67" i="1"/>
  <c r="G67" i="1"/>
  <c r="I67" i="1" s="1"/>
  <c r="L66" i="1"/>
  <c r="K66" i="1"/>
  <c r="J66" i="1"/>
  <c r="H66" i="1"/>
  <c r="G66" i="1"/>
  <c r="I66" i="1" s="1"/>
  <c r="L65" i="1"/>
  <c r="K65" i="1"/>
  <c r="J65" i="1"/>
  <c r="H65" i="1"/>
  <c r="G65" i="1"/>
  <c r="I65" i="1" s="1"/>
  <c r="L64" i="1"/>
  <c r="K64" i="1"/>
  <c r="J64" i="1"/>
  <c r="H64" i="1"/>
  <c r="G64" i="1"/>
  <c r="I64" i="1" s="1"/>
  <c r="L63" i="1"/>
  <c r="K63" i="1"/>
  <c r="J63" i="1"/>
  <c r="H63" i="1"/>
  <c r="G63" i="1"/>
  <c r="I63" i="1" s="1"/>
  <c r="L62" i="1"/>
  <c r="K62" i="1"/>
  <c r="J62" i="1"/>
  <c r="H62" i="1"/>
  <c r="G62" i="1"/>
  <c r="I62" i="1" s="1"/>
  <c r="L61" i="1"/>
  <c r="K61" i="1"/>
  <c r="J61" i="1"/>
  <c r="H61" i="1"/>
  <c r="G61" i="1"/>
  <c r="I61" i="1" s="1"/>
  <c r="L60" i="1"/>
  <c r="K60" i="1"/>
  <c r="J60" i="1"/>
  <c r="H60" i="1"/>
  <c r="G60" i="1"/>
  <c r="I60" i="1" s="1"/>
  <c r="L59" i="1"/>
  <c r="K59" i="1"/>
  <c r="J59" i="1"/>
  <c r="H59" i="1"/>
  <c r="G59" i="1"/>
  <c r="I59" i="1" s="1"/>
  <c r="L58" i="1"/>
  <c r="K58" i="1"/>
  <c r="J58" i="1"/>
  <c r="H58" i="1"/>
  <c r="G58" i="1"/>
  <c r="I58" i="1" s="1"/>
  <c r="L57" i="1"/>
  <c r="K57" i="1"/>
  <c r="J57" i="1"/>
  <c r="H57" i="1"/>
  <c r="G57" i="1"/>
  <c r="I57" i="1" s="1"/>
  <c r="L56" i="1"/>
  <c r="K56" i="1"/>
  <c r="J56" i="1"/>
  <c r="H56" i="1"/>
  <c r="G56" i="1"/>
  <c r="I56" i="1" s="1"/>
  <c r="L55" i="1"/>
  <c r="K55" i="1"/>
  <c r="J55" i="1"/>
  <c r="H55" i="1"/>
  <c r="G55" i="1"/>
  <c r="I55" i="1" s="1"/>
  <c r="L54" i="1"/>
  <c r="K54" i="1"/>
  <c r="J54" i="1"/>
  <c r="H54" i="1"/>
  <c r="G54" i="1"/>
  <c r="I54" i="1" s="1"/>
  <c r="L53" i="1"/>
  <c r="K53" i="1"/>
  <c r="J53" i="1"/>
  <c r="H53" i="1"/>
  <c r="G53" i="1"/>
  <c r="I53" i="1" s="1"/>
  <c r="L52" i="1"/>
  <c r="K52" i="1"/>
  <c r="J52" i="1"/>
  <c r="H52" i="1"/>
  <c r="G52" i="1"/>
  <c r="I52" i="1" s="1"/>
  <c r="L51" i="1"/>
  <c r="K51" i="1"/>
  <c r="J51" i="1"/>
  <c r="H51" i="1"/>
  <c r="G51" i="1"/>
  <c r="I51" i="1" s="1"/>
  <c r="L50" i="1"/>
  <c r="K50" i="1"/>
  <c r="J50" i="1"/>
  <c r="H50" i="1"/>
  <c r="G50" i="1"/>
  <c r="I50" i="1" s="1"/>
  <c r="L49" i="1"/>
  <c r="K49" i="1"/>
  <c r="J49" i="1"/>
  <c r="H49" i="1"/>
  <c r="G49" i="1"/>
  <c r="I49" i="1" s="1"/>
  <c r="L48" i="1"/>
  <c r="K48" i="1"/>
  <c r="J48" i="1"/>
  <c r="H48" i="1"/>
  <c r="G48" i="1"/>
  <c r="I48" i="1" s="1"/>
  <c r="L47" i="1"/>
  <c r="K47" i="1"/>
  <c r="J47" i="1"/>
  <c r="H47" i="1"/>
  <c r="G47" i="1"/>
  <c r="I47" i="1" s="1"/>
  <c r="L46" i="1"/>
  <c r="K46" i="1"/>
  <c r="J46" i="1"/>
  <c r="H46" i="1"/>
  <c r="G46" i="1"/>
  <c r="I46" i="1" s="1"/>
  <c r="L45" i="1"/>
  <c r="K45" i="1"/>
  <c r="J45" i="1"/>
  <c r="H45" i="1"/>
  <c r="G45" i="1"/>
  <c r="I45" i="1" s="1"/>
  <c r="L44" i="1"/>
  <c r="K44" i="1"/>
  <c r="J44" i="1"/>
  <c r="H44" i="1"/>
  <c r="G44" i="1"/>
  <c r="I44" i="1" s="1"/>
  <c r="L43" i="1"/>
  <c r="K43" i="1"/>
  <c r="J43" i="1"/>
  <c r="H43" i="1"/>
  <c r="G43" i="1"/>
  <c r="I43" i="1" s="1"/>
  <c r="L42" i="1"/>
  <c r="K42" i="1"/>
  <c r="J42" i="1"/>
  <c r="H42" i="1"/>
  <c r="G42" i="1"/>
  <c r="I42" i="1" s="1"/>
  <c r="L41" i="1"/>
  <c r="K41" i="1"/>
  <c r="J41" i="1"/>
  <c r="H41" i="1"/>
  <c r="G41" i="1"/>
  <c r="I41" i="1" s="1"/>
  <c r="L40" i="1"/>
  <c r="K40" i="1"/>
  <c r="J40" i="1"/>
  <c r="H40" i="1"/>
  <c r="G40" i="1"/>
  <c r="I40" i="1" s="1"/>
  <c r="L39" i="1"/>
  <c r="K39" i="1"/>
  <c r="J39" i="1"/>
  <c r="H39" i="1"/>
  <c r="G39" i="1"/>
  <c r="I39" i="1" s="1"/>
  <c r="L38" i="1"/>
  <c r="K38" i="1"/>
  <c r="J38" i="1"/>
  <c r="H38" i="1"/>
  <c r="G38" i="1"/>
  <c r="I38" i="1" s="1"/>
  <c r="L37" i="1"/>
  <c r="K37" i="1"/>
  <c r="J37" i="1"/>
  <c r="H37" i="1"/>
  <c r="G37" i="1"/>
  <c r="I37" i="1" s="1"/>
  <c r="L36" i="1"/>
  <c r="K36" i="1"/>
  <c r="J36" i="1"/>
  <c r="H36" i="1"/>
  <c r="G36" i="1"/>
  <c r="I36" i="1" s="1"/>
  <c r="L35" i="1"/>
  <c r="K35" i="1"/>
  <c r="J35" i="1"/>
  <c r="H35" i="1"/>
  <c r="G35" i="1"/>
  <c r="I35" i="1" s="1"/>
  <c r="L34" i="1"/>
  <c r="K34" i="1"/>
  <c r="J34" i="1"/>
  <c r="H34" i="1"/>
  <c r="G34" i="1"/>
  <c r="I34" i="1" s="1"/>
  <c r="L33" i="1"/>
  <c r="K33" i="1"/>
  <c r="J33" i="1"/>
  <c r="H33" i="1"/>
  <c r="G33" i="1"/>
  <c r="I33" i="1" s="1"/>
  <c r="L32" i="1"/>
  <c r="K32" i="1"/>
  <c r="J32" i="1"/>
  <c r="H32" i="1"/>
  <c r="G32" i="1"/>
  <c r="I32" i="1" s="1"/>
  <c r="L31" i="1"/>
  <c r="K31" i="1"/>
  <c r="J31" i="1"/>
  <c r="H31" i="1"/>
  <c r="G31" i="1"/>
  <c r="I31" i="1" s="1"/>
  <c r="L30" i="1"/>
  <c r="K30" i="1"/>
  <c r="J30" i="1"/>
  <c r="H30" i="1"/>
  <c r="G30" i="1"/>
  <c r="I30" i="1" s="1"/>
  <c r="L29" i="1"/>
  <c r="K29" i="1"/>
  <c r="J29" i="1"/>
  <c r="H29" i="1"/>
  <c r="G29" i="1"/>
  <c r="I29" i="1" s="1"/>
  <c r="L28" i="1"/>
  <c r="K28" i="1"/>
  <c r="J28" i="1"/>
  <c r="H28" i="1"/>
  <c r="G28" i="1"/>
  <c r="I28" i="1" s="1"/>
  <c r="L27" i="1"/>
  <c r="K27" i="1"/>
  <c r="J27" i="1"/>
  <c r="H27" i="1"/>
  <c r="G27" i="1"/>
  <c r="I27" i="1" s="1"/>
  <c r="L26" i="1"/>
  <c r="K26" i="1"/>
  <c r="J26" i="1"/>
  <c r="H26" i="1"/>
  <c r="G26" i="1"/>
  <c r="I26" i="1" s="1"/>
  <c r="L25" i="1"/>
  <c r="K25" i="1"/>
  <c r="J25" i="1"/>
  <c r="H25" i="1"/>
  <c r="G25" i="1"/>
  <c r="I25" i="1" s="1"/>
  <c r="L24" i="1"/>
  <c r="K24" i="1"/>
  <c r="J24" i="1"/>
  <c r="H24" i="1"/>
  <c r="G24" i="1"/>
  <c r="I24" i="1" s="1"/>
  <c r="L23" i="1"/>
  <c r="K23" i="1"/>
  <c r="J23" i="1"/>
  <c r="H23" i="1"/>
  <c r="G23" i="1"/>
  <c r="I23" i="1" s="1"/>
  <c r="L22" i="1"/>
  <c r="K22" i="1"/>
  <c r="J22" i="1"/>
  <c r="H22" i="1"/>
  <c r="G22" i="1"/>
  <c r="I22" i="1" s="1"/>
  <c r="L21" i="1"/>
  <c r="K21" i="1"/>
  <c r="J21" i="1"/>
  <c r="H21" i="1"/>
  <c r="G21" i="1"/>
  <c r="I21" i="1" s="1"/>
  <c r="L20" i="1"/>
  <c r="K20" i="1"/>
  <c r="J20" i="1"/>
  <c r="H20" i="1"/>
  <c r="G20" i="1"/>
  <c r="I20" i="1" s="1"/>
  <c r="L19" i="1"/>
  <c r="K19" i="1"/>
  <c r="J19" i="1"/>
  <c r="H19" i="1"/>
  <c r="G19" i="1"/>
  <c r="I19" i="1" s="1"/>
  <c r="L18" i="1"/>
  <c r="K18" i="1"/>
  <c r="J18" i="1"/>
  <c r="H18" i="1"/>
  <c r="G18" i="1"/>
  <c r="I18" i="1" s="1"/>
  <c r="L17" i="1"/>
  <c r="K17" i="1"/>
  <c r="J17" i="1"/>
  <c r="H17" i="1"/>
  <c r="G17" i="1"/>
  <c r="I17" i="1" s="1"/>
  <c r="L16" i="1"/>
  <c r="K16" i="1"/>
  <c r="J16" i="1"/>
  <c r="H16" i="1"/>
  <c r="G16" i="1"/>
  <c r="I16" i="1" s="1"/>
  <c r="L15" i="1"/>
  <c r="K15" i="1"/>
  <c r="J15" i="1"/>
  <c r="H15" i="1"/>
  <c r="G15" i="1"/>
  <c r="I15" i="1" s="1"/>
  <c r="L14" i="1"/>
  <c r="K14" i="1"/>
  <c r="J14" i="1"/>
  <c r="H14" i="1"/>
  <c r="G14" i="1"/>
  <c r="I14" i="1" s="1"/>
  <c r="L13" i="1"/>
  <c r="K13" i="1"/>
  <c r="J13" i="1"/>
  <c r="H13" i="1"/>
  <c r="G13" i="1"/>
  <c r="I13" i="1" s="1"/>
  <c r="L12" i="1"/>
  <c r="K12" i="1"/>
  <c r="J12" i="1"/>
  <c r="H12" i="1"/>
  <c r="G12" i="1"/>
  <c r="I12" i="1" s="1"/>
  <c r="L11" i="1"/>
  <c r="K11" i="1"/>
  <c r="J11" i="1"/>
  <c r="H11" i="1"/>
  <c r="G11" i="1"/>
  <c r="I11" i="1" s="1"/>
  <c r="L10" i="1"/>
  <c r="K10" i="1"/>
  <c r="J10" i="1"/>
  <c r="H10" i="1"/>
  <c r="G10" i="1"/>
  <c r="I10" i="1" s="1"/>
  <c r="L9" i="1"/>
  <c r="K9" i="1"/>
  <c r="J9" i="1"/>
  <c r="H9" i="1"/>
  <c r="G9" i="1"/>
  <c r="I9" i="1" s="1"/>
  <c r="L8" i="1"/>
  <c r="K8" i="1"/>
  <c r="J8" i="1"/>
  <c r="H8" i="1"/>
  <c r="G8" i="1"/>
  <c r="I8" i="1" s="1"/>
  <c r="L7" i="1"/>
  <c r="K7" i="1"/>
  <c r="J7" i="1"/>
  <c r="H7" i="1"/>
  <c r="G7" i="1"/>
  <c r="I7" i="1" s="1"/>
  <c r="L6" i="1"/>
  <c r="K6" i="1"/>
  <c r="J6" i="1"/>
  <c r="H6" i="1"/>
  <c r="G6" i="1"/>
  <c r="I6" i="1" s="1"/>
  <c r="L5" i="1"/>
  <c r="K5" i="1"/>
  <c r="J5" i="1"/>
  <c r="H5" i="1"/>
  <c r="G5" i="1"/>
  <c r="I5" i="1" s="1"/>
  <c r="L4" i="1"/>
  <c r="K4" i="1"/>
  <c r="J4" i="1"/>
  <c r="H4" i="1"/>
  <c r="G4" i="1"/>
  <c r="I4" i="1" s="1"/>
  <c r="L3" i="1"/>
  <c r="K3" i="1"/>
  <c r="J3" i="1"/>
  <c r="H3" i="1"/>
  <c r="G3" i="1"/>
  <c r="I3" i="1" s="1"/>
  <c r="L2" i="1"/>
  <c r="K2" i="1"/>
  <c r="J2" i="1"/>
  <c r="H2" i="1"/>
  <c r="G2" i="1"/>
  <c r="I2" i="1" s="1"/>
</calcChain>
</file>

<file path=xl/sharedStrings.xml><?xml version="1.0" encoding="utf-8"?>
<sst xmlns="http://schemas.openxmlformats.org/spreadsheetml/2006/main" count="1134" uniqueCount="83">
  <si>
    <t>Etiquetas de fila</t>
  </si>
  <si>
    <t>Total general</t>
  </si>
  <si>
    <t>Fecha</t>
  </si>
  <si>
    <t>Lista</t>
  </si>
  <si>
    <t>Nacional</t>
  </si>
  <si>
    <t>Posición</t>
  </si>
  <si>
    <t>Canción</t>
  </si>
  <si>
    <t>Valor</t>
  </si>
  <si>
    <t>Suma de Valor</t>
  </si>
  <si>
    <t>Alexander Abreu &amp; Velito el bufón - Silencio (Remix)</t>
  </si>
  <si>
    <t>Cimafunk &amp; Monsieur Periné - Catalina</t>
  </si>
  <si>
    <t>David Calzado Y Su Charanga Habanera - Los Besos Que Te Di</t>
  </si>
  <si>
    <t>Wil Campa - La Vida Bailando</t>
  </si>
  <si>
    <t>Gitanos - Fiestando</t>
  </si>
  <si>
    <t>Lenier &amp; Nacho - Asi Como Yo</t>
  </si>
  <si>
    <t>Internacional</t>
  </si>
  <si>
    <t>Katy Perry - LIFETIMES</t>
  </si>
  <si>
    <t>Kapo - Ohnana</t>
  </si>
  <si>
    <t>Lexa - Necessito</t>
  </si>
  <si>
    <t>Shakira - Soltera</t>
  </si>
  <si>
    <t>Leoni Torres &amp; Guaynaa - Todo El Mundo Bailando</t>
  </si>
  <si>
    <t>Conteo</t>
  </si>
  <si>
    <t>Bonus</t>
  </si>
  <si>
    <t>Total</t>
  </si>
  <si>
    <t>Suma de Total</t>
  </si>
  <si>
    <t>Suma de Bonus</t>
  </si>
  <si>
    <t>Cuenta de Posición</t>
  </si>
  <si>
    <t>#1</t>
  </si>
  <si>
    <t>Top3</t>
  </si>
  <si>
    <t>Suma de #1</t>
  </si>
  <si>
    <t>Suma de Top3</t>
  </si>
  <si>
    <t>Lady Gaga &amp; Bruno Mars - Die With A Smile</t>
  </si>
  <si>
    <t>Anterior</t>
  </si>
  <si>
    <t>Delta</t>
  </si>
  <si>
    <t>Mín. de Posición</t>
  </si>
  <si>
    <t>Mín. de Delta</t>
  </si>
  <si>
    <t>Máx. de Delta</t>
  </si>
  <si>
    <t>Lenier &amp; Diana Fuentes - Y Ojalá</t>
  </si>
  <si>
    <t>Kapo - UWAIE</t>
  </si>
  <si>
    <t>ROSÉ &amp; Bruno Mars - APT.</t>
  </si>
  <si>
    <t>Charly &amp; Johayron &amp; Roberto Ferrante - Bailando Suave</t>
  </si>
  <si>
    <t>Ana Mena &amp; Emilia - CARITA TRISTE</t>
  </si>
  <si>
    <t>Hugel &amp; J Balvin &amp; Ellie Goulding &amp; Topic &amp; Arash &amp; Daecolm - I Adore You</t>
  </si>
  <si>
    <t>Tito El Bambino &amp; Silvestre Dangond - ¿Dónde Estabas?</t>
  </si>
  <si>
    <t>Leoni Torres - Por Tu Culpa</t>
  </si>
  <si>
    <t>Nesty &amp; Guaynaa - Orgullo</t>
  </si>
  <si>
    <t>Srta. Dayana - Bonita</t>
  </si>
  <si>
    <t>Maluma - Cosas Pendientes</t>
  </si>
  <si>
    <t>Len Mikay &amp; Leoni Torres - Un Clásico</t>
  </si>
  <si>
    <t>Elena Rose &amp; Maria Becerra - Pa’ Qué Volviste?</t>
  </si>
  <si>
    <t>Bizarrap &amp; Luck Ra - Bzrp Music Sessions, Vol. 61</t>
  </si>
  <si>
    <t>Nesty &amp; Ronald Borjas - Ya Lo Ves</t>
  </si>
  <si>
    <t>Bebeshito - Tacto Que Llegó El Reparto</t>
  </si>
  <si>
    <t>Tini - El Cielo</t>
  </si>
  <si>
    <t>Jacob Forever &amp; Mayco D' Alma - No Volveré</t>
  </si>
  <si>
    <t>Lady Gaga - Abracadabra</t>
  </si>
  <si>
    <t>Piso 21 &amp; Marc Anthony &amp; Beéle - Volver</t>
  </si>
  <si>
    <t>Greeicy - Efímero</t>
  </si>
  <si>
    <t>Karmen Muradas &amp; Alexander Abreu &amp; Havana D'Primera - Qué Hago</t>
  </si>
  <si>
    <t>David Calzado y su Charanga Habanera &amp; Joseito CG - Que Te Vaya Bien</t>
  </si>
  <si>
    <t>Timø &amp; Cardellino - Diamante</t>
  </si>
  <si>
    <t>Len Mikay &amp; Divan - Nos Vamos</t>
  </si>
  <si>
    <t>Xavi &amp; Manuel Turizo - En Privado</t>
  </si>
  <si>
    <t>Charly &amp; Johayron &amp; Roberto Ferrante &amp; El Bandolero - Amante
El Bandolero</t>
  </si>
  <si>
    <t>Fariana &amp; Kiko El Crazy - Me Muevo</t>
  </si>
  <si>
    <t>Fanny Lu &amp; Olga Tañón - Señor Bendito</t>
  </si>
  <si>
    <t>Jacob Forever &amp; LI-C - Mañana Te Olvido</t>
  </si>
  <si>
    <t>Karol G - Papasito</t>
  </si>
  <si>
    <t>Ed Sheeran - Azizam</t>
  </si>
  <si>
    <t>Yulien Oviedo &amp; Insurrecto - Morena</t>
  </si>
  <si>
    <t>Becky G &amp; Manuel Turizo - Qué Haces</t>
  </si>
  <si>
    <t>Aitana &amp; Kenia Os - Ex Ex Ex</t>
  </si>
  <si>
    <t>Chacal &amp; Marlon &amp; Gerardo Rodríguez - Pa' Toda La Vida</t>
  </si>
  <si>
    <t>Wisin &amp; Kapo - Luna</t>
  </si>
  <si>
    <t>Beéle - No Tiene Sentido</t>
  </si>
  <si>
    <t>Lenier &amp; El Chulo - Vibras</t>
  </si>
  <si>
    <t>DY - Sonríele</t>
  </si>
  <si>
    <t>Manuel Turizo - Mírame Ahora</t>
  </si>
  <si>
    <t>Wampi &amp; Cimafunk - Qué Bolá</t>
  </si>
  <si>
    <t>Wil Campa - Como Nadie</t>
  </si>
  <si>
    <t>Greeicy - Quiero +</t>
  </si>
  <si>
    <t>Huntr/x &amp; KPop Demon Hunters Cast - Golden</t>
  </si>
  <si>
    <t>Maria Becerra &amp; Tini - Hasta Que Me Enamoro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</si>
</sst>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lo Guerrero Montero" refreshedDate="46021.650146643522" createdVersion="8" refreshedVersion="8" minRefreshableVersion="3" recordCount="521" xr:uid="{DC4ECA65-B59C-4D7D-938F-A8F120C7FE81}">
  <cacheSource type="worksheet">
    <worksheetSource ref="A1:I1048576" sheet="Data"/>
  </cacheSource>
  <cacheFields count="9">
    <cacheField name="Conteo" numFmtId="0">
      <sharedItems containsString="0" containsBlank="1" containsNumber="1" containsInteger="1" minValue="1" maxValue="26"/>
    </cacheField>
    <cacheField name="Fecha" numFmtId="0">
      <sharedItems containsNonDate="0" containsDate="1" containsString="0" containsBlank="1" minDate="2025-01-12T00:00:00" maxDate="2025-10-27T00:00:00"/>
    </cacheField>
    <cacheField name="Lista" numFmtId="0">
      <sharedItems containsBlank="1" count="3">
        <s v="Nacional"/>
        <s v="Internacional"/>
        <m/>
      </sharedItems>
    </cacheField>
    <cacheField name="Posición" numFmtId="0">
      <sharedItems containsString="0" containsBlank="1" containsNumber="1" containsInteger="1" minValue="1" maxValue="10"/>
    </cacheField>
    <cacheField name="Anterior" numFmtId="0">
      <sharedItems containsString="0" containsBlank="1" containsNumber="1" containsInteger="1" minValue="1" maxValue="11"/>
    </cacheField>
    <cacheField name="Canción" numFmtId="0">
      <sharedItems containsBlank="1" count="133">
        <s v="Leoni Torres &amp; Guaynaa - Todo El Mundo Bailando"/>
        <s v="David Calzado Y Su Charanga Habanera - Los Besos Que Te Di"/>
        <s v="Cimafunk &amp; Monsieur Periné - Catalina"/>
        <s v="Lenier &amp; Nacho - Asi Como Yo"/>
        <s v="Wil Campa - La Vida Bailando"/>
        <s v="Lenier &amp; Diana Fuentes - Y Ojalá"/>
        <s v="Charly &amp; Johayron &amp; Roberto Ferrante - Bailando Suave"/>
        <s v="Alexander Abreu &amp; Velito el bufón - Silencio (Remix)"/>
        <s v="Leoni Torres - Por Tu Culpa"/>
        <s v="Gitanos - Fiestando"/>
        <s v="Shakira - Soltera"/>
        <s v="Katy Perry - LIFETIMES"/>
        <s v="ROSÉ &amp; Bruno Mars - APT."/>
        <s v="Ana Mena &amp; Emilia - CARITA TRISTE"/>
        <s v="Kapo - UWAIE"/>
        <s v="Lady Gaga &amp; Bruno Mars - Die With A Smile"/>
        <s v="Kapo - Ohnana"/>
        <s v="Lexa - Necessito"/>
        <s v="Tito El Bambino &amp; Silvestre Dangond - ¿Dónde Estabas?"/>
        <s v="Hugel &amp; J Balvin &amp; Ellie Goulding &amp; Topic &amp; Arash &amp; Daecolm - I Adore You"/>
        <s v="Nesty &amp; Guaynaa - Orgullo"/>
        <s v="Srta. Dayana - Bonita"/>
        <s v="Maluma - Cosas Pendientes"/>
        <s v="Len Mikay &amp; Leoni Torres - Un Clásico"/>
        <s v="Elena Rose &amp; Maria Becerra - Pa’ Qué Volviste?"/>
        <s v="Bizarrap &amp; Luck Ra - Bzrp Music Sessions, Vol. 61"/>
        <s v="Nesty &amp; Ronald Borjas - Ya Lo Ves"/>
        <s v="Bebeshito - Tacto Que Llegó El Reparto"/>
        <s v="Tini - El Cielo"/>
        <s v="Jacob Forever &amp; Mayco D' Alma - No Volveré"/>
        <s v="Lady Gaga - Abracadabra"/>
        <s v="Piso 21 &amp; Marc Anthony &amp; Beéle - Volver"/>
        <s v="Greeicy - Efímero"/>
        <s v="Xavi &amp; Manuel Turizo - En Privado"/>
        <s v="Karmen Muradas &amp; Alexander Abreu &amp; Havana D'Primera - Qué Hago"/>
        <s v="David Calzado y su Charanga Habanera &amp; Joseito CG - Que Te Vaya Bien"/>
        <s v="Timø &amp; Cardellino - Diamante"/>
        <s v="Len Mikay &amp; Divan - Nos Vamos"/>
        <s v="Charly &amp; Johayron &amp; Roberto Ferrante &amp; El Bandolero - Amante_x000a_El Bandolero"/>
        <s v="Fariana &amp; Kiko El Crazy - Me Muevo"/>
        <s v="Fanny Lu &amp; Olga Tañón - Señor Bendito"/>
        <s v="Jacob Forever &amp; LI-C - Mañana Te Olvido"/>
        <s v="Karol G - Papasito"/>
        <s v="Ed Sheeran - Azizam"/>
        <s v="Yulien Oviedo &amp; Insurrecto - Morena"/>
        <s v="Becky G &amp; Manuel Turizo - Qué Haces"/>
        <s v="Aitana &amp; Kenia Os - Ex Ex Ex"/>
        <s v="Chacal &amp; Marlon &amp; Gerardo Rodríguez - Pa' Toda La Vida"/>
        <s v="Wisin &amp; Kapo - Luna"/>
        <s v="Beéle - No Tiene Sentido"/>
        <s v="Lenier &amp; El Chulo - Vibras"/>
        <s v="DY - Sonríele"/>
        <s v="Manuel Turizo - Mírame Ahora"/>
        <s v="Wampi &amp; Cimafunk - Qué Bolá"/>
        <s v="Wil Campa - Como Nadie"/>
        <s v="Greeicy - Quiero +"/>
        <s v="Huntr/x &amp; KPop Demon Hunters Cast - Golden"/>
        <s v="Maria Becerra &amp; Tini - Hasta Que Me Enamoro"/>
        <m/>
        <s v=" Xavi &amp; Manuel Turizo - En Privado" u="1"/>
        <s v="Jacob Forever, @danyome, Kevincitoel13, Gatillo - Que viva el amor" u="1"/>
        <s v="Havana D' Primera &amp; Gilberto Santa Rosa - Cu-Pr" u="1"/>
        <s v="Wil Campa - Nunca Te Olvidaré" u="1"/>
        <s v="Charly &amp; Johayron y Ernesto Losa - Una copia de mí" u="1"/>
        <s v="Karmen Muradas - Salsa Kuduro" u="1"/>
        <s v="Nesty, Diana Fuentes - Mas Que Amigos" u="1"/>
        <s v="LiesterM, Charanga Habanera - Muerto, frito y derretido" u="1"/>
        <s v="Lenier &amp; Jowell &amp; Randy - Si Tu La Ves" u="1"/>
        <s v="Leoni Torres &amp; Eddy K &amp; Mauro El Codigo Secreto - El Amor Que Espere" u="1"/>
        <s v="Formell y Los Van Van - Modo Van Van" u="1"/>
        <s v="Dua Lipa - Houdini" u="1"/>
        <s v="KAROL G - MI EX TENÍA RAZÓN" u="1"/>
        <s v="Daddy Yankee - Bonita" u="1"/>
        <s v="Enrique Iglesias, Maria Becerra - ASI ES LA VIDA" u="1"/>
        <s v="Sebastián Yatra, Manuel Turizo, Beéle - VAGABUNDO" u="1"/>
        <s v="Ozuna, David Guetta - Vocation" u="1"/>
        <s v="Sia - Gimme Love" u="1"/>
        <s v="Aitana, Rels B - miamor" u="1"/>
        <s v="Jason Derulo &amp; Meghan Trainor  - Hands On Me" u="1"/>
        <s v="Natti Natasha - Ya No Te Extraño" u="1"/>
        <s v="Papushi - Te Digo Adiós (Cumbia)" u="1"/>
        <s v="Bryan Sanchez - Cuéntale" u="1"/>
        <s v="Calvin Harris, Sam Smith - Desire" u="1"/>
        <s v="Bizarrap - Young Miko: Bzrp Music Sessions, Vol. 58" u="1"/>
        <s v="Diana Fuentes - La Vida Es Buena" u="1"/>
        <s v="Ariana Grande - yes, and?" u="1"/>
        <s v="Jennifer Lopez - Can't Get Enough" u="1"/>
        <s v="Yuly y Havana C - Angel o Demonio" u="1"/>
        <s v="Charanga Latina &amp; Joseito CG - Dile Al Amor" u="1"/>
        <s v="Rosaliz - Mi meneo" u="1"/>
        <s v="Alexander Abreu y Habana D Primera - La chica del escenario" u="1"/>
        <s v="Wisin &amp; Pedro Capó - Himalaya" u="1"/>
        <s v="Marc Anthony - Punta Cana" u="1"/>
        <s v="KAROL G &amp; Tiësto - CONTIGO" u="1"/>
        <s v="Camilo, Evaluna Montaner - PLIS" u="1"/>
        <s v="Son Dos y Formell y los Van Van - Bailando con los Van Van" u="1"/>
        <s v="Víctor Manuelle - Otra Noche Más" u="1"/>
        <s v="Cimafunk - Te tengo en salsa" u="1"/>
        <s v="Moa Rivera &amp; Lenier - Fue Culpa De Usted" u="1"/>
        <s v="Paulo FG - La mano de Orula" u="1"/>
        <s v="Shakira, Bizarrap - La Fuerte" u="1"/>
        <s v="Dua Lipa - Training Season" u="1"/>
        <s v="Kygo &amp; Ava Max - Whatever" u="1"/>
        <s v="Formell y Los Van Van - Bla, Bla, Bla" u="1"/>
        <s v="Divan &amp; Ernesto Losa - No Te Instales " u="1"/>
        <s v="Feid &amp; ATL Jacob - LUNA" u="1"/>
        <s v="Shakira &amp; Cardi B - Puntería" u="1"/>
        <s v="Pharrell Williams &amp; Miley Cyrus - Doctor (Work It Out)" u="1"/>
        <s v="La India &amp; Jacob Forever - Fuera Fuera" u="1"/>
        <s v="Benson Boone - Beautiful Things" u="1"/>
        <s v="Beyoncé - TEXAS HOLD 'EM" u="1"/>
        <s v="Wil Campa - Las Redes" u="1"/>
        <s v="Taylor Swift &amp; Post Malone - Fortnight (CYRIL REMIX)" u="1"/>
        <s v="Marc Anthony - Ale Ale" u="1"/>
        <s v="Luis Fonsi &amp; Laura Pausini - Roma" u="1"/>
        <s v="Elito Revé Y Su Charangón &amp; El Dray - El WhatsApp" u="1"/>
        <s v="Los 4 - Nada Sin Ti " u="1"/>
        <s v="Camilo &amp; Carin Leon - Una Vida Pasada " u="1"/>
        <s v="Camilo &amp; Alexander Abreu &amp; Havana D'Primera - Sálvame" u="1"/>
        <s v="Sabrina Carpenter - Espresso" u="1"/>
        <s v="Rauw Alejandro - Touching The Sky" u="1"/>
        <s v="KAROL G - Si Antes Te Hubiera Conocido" u="1"/>
        <s v="Alain Pérez - La Lámpara" u="1"/>
        <s v="Dua Lipa - Illusion " u="1"/>
        <s v="Manolin El Medico de la Salsa &amp; Formula B - La Calentura" u="1"/>
        <s v="Becky Hill - Outside Of Love" u="1"/>
        <s v="Charly &amp; Johayron &amp; Baby Cortés &amp; Ernesto Losa - La Persona Correcta" u="1"/>
        <s v="Luck Ra &amp; Maluma &amp; KHEA - HOLA PERDIDA REMIX" u="1"/>
        <s v="Sevdaliza &amp; Pabllo Vittar &amp; Yseult - Alibi" u="1"/>
        <s v="Katy Perry - Woman's World" u="1"/>
        <s v="Manuel Turizo - Enhorabuena" u="1"/>
        <s v="Play-N-Skillz &amp; Natti Natasha &amp; Deorro - Como la flor" u="1"/>
        <s v="Rvssian &amp; Rauw Alejandro &amp; Ayra Starr - Santa" u="1"/>
      </sharedItems>
    </cacheField>
    <cacheField name="Valor" numFmtId="0">
      <sharedItems containsString="0" containsBlank="1" containsNumber="1" containsInteger="1" minValue="1" maxValue="10"/>
    </cacheField>
    <cacheField name="Bonus" numFmtId="0">
      <sharedItems containsString="0" containsBlank="1" containsNumber="1" containsInteger="1" minValue="0" maxValue="9"/>
    </cacheField>
    <cacheField name="Total" numFmtId="0">
      <sharedItems containsString="0" containsBlank="1" containsNumber="1" containsInteger="1" minValue="1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lo Guerrero Montero" refreshedDate="46021.650236921298" createdVersion="8" refreshedVersion="8" minRefreshableVersion="3" recordCount="521" xr:uid="{A39647C2-C537-4F3B-BE6F-FC65AB6AD4AF}">
  <cacheSource type="worksheet">
    <worksheetSource ref="A1:L1048576" sheet="Data"/>
  </cacheSource>
  <cacheFields count="12">
    <cacheField name="Conteo" numFmtId="0">
      <sharedItems containsString="0" containsBlank="1" containsNumber="1" containsInteger="1" minValue="1" maxValue="26"/>
    </cacheField>
    <cacheField name="Fecha" numFmtId="0">
      <sharedItems containsNonDate="0" containsDate="1" containsString="0" containsBlank="1" minDate="2025-01-12T00:00:00" maxDate="2025-10-27T00:00:00"/>
    </cacheField>
    <cacheField name="Lista" numFmtId="0">
      <sharedItems containsBlank="1" count="3">
        <s v="Nacional"/>
        <s v="Internacional"/>
        <m/>
      </sharedItems>
    </cacheField>
    <cacheField name="Posición" numFmtId="0">
      <sharedItems containsString="0" containsBlank="1" containsNumber="1" containsInteger="1" minValue="1" maxValue="10"/>
    </cacheField>
    <cacheField name="Anterior" numFmtId="0">
      <sharedItems containsString="0" containsBlank="1" containsNumber="1" containsInteger="1" minValue="1" maxValue="11"/>
    </cacheField>
    <cacheField name="Canción" numFmtId="0">
      <sharedItems containsBlank="1" count="133">
        <s v="Leoni Torres &amp; Guaynaa - Todo El Mundo Bailando"/>
        <s v="David Calzado Y Su Charanga Habanera - Los Besos Que Te Di"/>
        <s v="Cimafunk &amp; Monsieur Periné - Catalina"/>
        <s v="Lenier &amp; Nacho - Asi Como Yo"/>
        <s v="Wil Campa - La Vida Bailando"/>
        <s v="Lenier &amp; Diana Fuentes - Y Ojalá"/>
        <s v="Charly &amp; Johayron &amp; Roberto Ferrante - Bailando Suave"/>
        <s v="Alexander Abreu &amp; Velito el bufón - Silencio (Remix)"/>
        <s v="Leoni Torres - Por Tu Culpa"/>
        <s v="Gitanos - Fiestando"/>
        <s v="Shakira - Soltera"/>
        <s v="Katy Perry - LIFETIMES"/>
        <s v="ROSÉ &amp; Bruno Mars - APT."/>
        <s v="Ana Mena &amp; Emilia - CARITA TRISTE"/>
        <s v="Kapo - UWAIE"/>
        <s v="Lady Gaga &amp; Bruno Mars - Die With A Smile"/>
        <s v="Kapo - Ohnana"/>
        <s v="Lexa - Necessito"/>
        <s v="Tito El Bambino &amp; Silvestre Dangond - ¿Dónde Estabas?"/>
        <s v="Hugel &amp; J Balvin &amp; Ellie Goulding &amp; Topic &amp; Arash &amp; Daecolm - I Adore You"/>
        <s v="Nesty &amp; Guaynaa - Orgullo"/>
        <s v="Srta. Dayana - Bonita"/>
        <s v="Maluma - Cosas Pendientes"/>
        <s v="Len Mikay &amp; Leoni Torres - Un Clásico"/>
        <s v="Elena Rose &amp; Maria Becerra - Pa’ Qué Volviste?"/>
        <s v="Bizarrap &amp; Luck Ra - Bzrp Music Sessions, Vol. 61"/>
        <s v="Nesty &amp; Ronald Borjas - Ya Lo Ves"/>
        <s v="Bebeshito - Tacto Que Llegó El Reparto"/>
        <s v="Tini - El Cielo"/>
        <s v="Jacob Forever &amp; Mayco D' Alma - No Volveré"/>
        <s v="Lady Gaga - Abracadabra"/>
        <s v="Piso 21 &amp; Marc Anthony &amp; Beéle - Volver"/>
        <s v="Greeicy - Efímero"/>
        <s v="Xavi &amp; Manuel Turizo - En Privado"/>
        <s v="Karmen Muradas &amp; Alexander Abreu &amp; Havana D'Primera - Qué Hago"/>
        <s v="David Calzado y su Charanga Habanera &amp; Joseito CG - Que Te Vaya Bien"/>
        <s v="Timø &amp; Cardellino - Diamante"/>
        <s v="Len Mikay &amp; Divan - Nos Vamos"/>
        <s v="Charly &amp; Johayron &amp; Roberto Ferrante &amp; El Bandolero - Amante_x000a_El Bandolero"/>
        <s v="Fariana &amp; Kiko El Crazy - Me Muevo"/>
        <s v="Fanny Lu &amp; Olga Tañón - Señor Bendito"/>
        <s v="Jacob Forever &amp; LI-C - Mañana Te Olvido"/>
        <s v="Karol G - Papasito"/>
        <s v="Ed Sheeran - Azizam"/>
        <s v="Yulien Oviedo &amp; Insurrecto - Morena"/>
        <s v="Becky G &amp; Manuel Turizo - Qué Haces"/>
        <s v="Aitana &amp; Kenia Os - Ex Ex Ex"/>
        <s v="Chacal &amp; Marlon &amp; Gerardo Rodríguez - Pa' Toda La Vida"/>
        <s v="Wisin &amp; Kapo - Luna"/>
        <s v="Beéle - No Tiene Sentido"/>
        <s v="Lenier &amp; El Chulo - Vibras"/>
        <s v="DY - Sonríele"/>
        <s v="Manuel Turizo - Mírame Ahora"/>
        <s v="Wampi &amp; Cimafunk - Qué Bolá"/>
        <s v="Wil Campa - Como Nadie"/>
        <s v="Greeicy - Quiero +"/>
        <s v="Huntr/x &amp; KPop Demon Hunters Cast - Golden"/>
        <s v="Maria Becerra &amp; Tini - Hasta Que Me Enamoro"/>
        <m/>
        <s v=" Xavi &amp; Manuel Turizo - En Privado" u="1"/>
        <s v="Jacob Forever, @danyome, Kevincitoel13, Gatillo - Que viva el amor" u="1"/>
        <s v="Havana D' Primera &amp; Gilberto Santa Rosa - Cu-Pr" u="1"/>
        <s v="Wil Campa - Nunca Te Olvidaré" u="1"/>
        <s v="Charly &amp; Johayron y Ernesto Losa - Una copia de mí" u="1"/>
        <s v="Karmen Muradas - Salsa Kuduro" u="1"/>
        <s v="Nesty, Diana Fuentes - Mas Que Amigos" u="1"/>
        <s v="LiesterM, Charanga Habanera - Muerto, frito y derretido" u="1"/>
        <s v="Lenier &amp; Jowell &amp; Randy - Si Tu La Ves" u="1"/>
        <s v="Leoni Torres &amp; Eddy K &amp; Mauro El Codigo Secreto - El Amor Que Espere" u="1"/>
        <s v="Formell y Los Van Van - Modo Van Van" u="1"/>
        <s v="Dua Lipa - Houdini" u="1"/>
        <s v="KAROL G - MI EX TENÍA RAZÓN" u="1"/>
        <s v="Daddy Yankee - Bonita" u="1"/>
        <s v="Enrique Iglesias, Maria Becerra - ASI ES LA VIDA" u="1"/>
        <s v="Sebastián Yatra, Manuel Turizo, Beéle - VAGABUNDO" u="1"/>
        <s v="Ozuna, David Guetta - Vocation" u="1"/>
        <s v="Sia - Gimme Love" u="1"/>
        <s v="Aitana, Rels B - miamor" u="1"/>
        <s v="Jason Derulo &amp; Meghan Trainor  - Hands On Me" u="1"/>
        <s v="Natti Natasha - Ya No Te Extraño" u="1"/>
        <s v="Papushi - Te Digo Adiós (Cumbia)" u="1"/>
        <s v="Bryan Sanchez - Cuéntale" u="1"/>
        <s v="Calvin Harris, Sam Smith - Desire" u="1"/>
        <s v="Bizarrap - Young Miko: Bzrp Music Sessions, Vol. 58" u="1"/>
        <s v="Diana Fuentes - La Vida Es Buena" u="1"/>
        <s v="Ariana Grande - yes, and?" u="1"/>
        <s v="Jennifer Lopez - Can't Get Enough" u="1"/>
        <s v="Yuly y Havana C - Angel o Demonio" u="1"/>
        <s v="Charanga Latina &amp; Joseito CG - Dile Al Amor" u="1"/>
        <s v="Rosaliz - Mi meneo" u="1"/>
        <s v="Alexander Abreu y Habana D Primera - La chica del escenario" u="1"/>
        <s v="Wisin &amp; Pedro Capó - Himalaya" u="1"/>
        <s v="Marc Anthony - Punta Cana" u="1"/>
        <s v="KAROL G &amp; Tiësto - CONTIGO" u="1"/>
        <s v="Camilo, Evaluna Montaner - PLIS" u="1"/>
        <s v="Son Dos y Formell y los Van Van - Bailando con los Van Van" u="1"/>
        <s v="Víctor Manuelle - Otra Noche Más" u="1"/>
        <s v="Cimafunk - Te tengo en salsa" u="1"/>
        <s v="Moa Rivera &amp; Lenier - Fue Culpa De Usted" u="1"/>
        <s v="Paulo FG - La mano de Orula" u="1"/>
        <s v="Shakira, Bizarrap - La Fuerte" u="1"/>
        <s v="Dua Lipa - Training Season" u="1"/>
        <s v="Kygo &amp; Ava Max - Whatever" u="1"/>
        <s v="Formell y Los Van Van - Bla, Bla, Bla" u="1"/>
        <s v="Divan &amp; Ernesto Losa - No Te Instales " u="1"/>
        <s v="Feid &amp; ATL Jacob - LUNA" u="1"/>
        <s v="Shakira &amp; Cardi B - Puntería" u="1"/>
        <s v="Pharrell Williams &amp; Miley Cyrus - Doctor (Work It Out)" u="1"/>
        <s v="La India &amp; Jacob Forever - Fuera Fuera" u="1"/>
        <s v="Benson Boone - Beautiful Things" u="1"/>
        <s v="Beyoncé - TEXAS HOLD 'EM" u="1"/>
        <s v="Wil Campa - Las Redes" u="1"/>
        <s v="Taylor Swift &amp; Post Malone - Fortnight (CYRIL REMIX)" u="1"/>
        <s v="Marc Anthony - Ale Ale" u="1"/>
        <s v="Luis Fonsi &amp; Laura Pausini - Roma" u="1"/>
        <s v="Elito Revé Y Su Charangón &amp; El Dray - El WhatsApp" u="1"/>
        <s v="Los 4 - Nada Sin Ti " u="1"/>
        <s v="Camilo &amp; Carin Leon - Una Vida Pasada " u="1"/>
        <s v="Camilo &amp; Alexander Abreu &amp; Havana D'Primera - Sálvame" u="1"/>
        <s v="Sabrina Carpenter - Espresso" u="1"/>
        <s v="Rauw Alejandro - Touching The Sky" u="1"/>
        <s v="KAROL G - Si Antes Te Hubiera Conocido" u="1"/>
        <s v="Alain Pérez - La Lámpara" u="1"/>
        <s v="Dua Lipa - Illusion " u="1"/>
        <s v="Manolin El Medico de la Salsa &amp; Formula B - La Calentura" u="1"/>
        <s v="Becky Hill - Outside Of Love" u="1"/>
        <s v="Charly &amp; Johayron &amp; Baby Cortés &amp; Ernesto Losa - La Persona Correcta" u="1"/>
        <s v="Luck Ra &amp; Maluma &amp; KHEA - HOLA PERDIDA REMIX" u="1"/>
        <s v="Sevdaliza &amp; Pabllo Vittar &amp; Yseult - Alibi" u="1"/>
        <s v="Katy Perry - Woman's World" u="1"/>
        <s v="Manuel Turizo - Enhorabuena" u="1"/>
        <s v="Play-N-Skillz &amp; Natti Natasha &amp; Deorro - Como la flor" u="1"/>
        <s v="Rvssian &amp; Rauw Alejandro &amp; Ayra Starr - Santa" u="1"/>
      </sharedItems>
    </cacheField>
    <cacheField name="Valor" numFmtId="0">
      <sharedItems containsString="0" containsBlank="1" containsNumber="1" containsInteger="1" minValue="1" maxValue="10"/>
    </cacheField>
    <cacheField name="Bonus" numFmtId="0">
      <sharedItems containsString="0" containsBlank="1" containsNumber="1" containsInteger="1" minValue="0" maxValue="9"/>
    </cacheField>
    <cacheField name="Total" numFmtId="0">
      <sharedItems containsString="0" containsBlank="1" containsNumber="1" containsInteger="1" minValue="1" maxValue="19"/>
    </cacheField>
    <cacheField name="#1" numFmtId="0">
      <sharedItems containsString="0" containsBlank="1" containsNumber="1" containsInteger="1" minValue="0" maxValue="1"/>
    </cacheField>
    <cacheField name="Top3" numFmtId="0">
      <sharedItems containsString="0" containsBlank="1" containsNumber="1" containsInteger="1" minValue="0" maxValue="1"/>
    </cacheField>
    <cacheField name="Delta" numFmtId="0">
      <sharedItems containsString="0" containsBlank="1" containsNumber="1" containsInteger="1" minValue="-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1">
  <r>
    <n v="1"/>
    <d v="2025-01-12T00:00:00"/>
    <x v="0"/>
    <n v="1"/>
    <n v="3"/>
    <x v="0"/>
    <n v="10"/>
    <n v="9"/>
    <n v="19"/>
  </r>
  <r>
    <n v="1"/>
    <d v="2025-01-12T00:00:00"/>
    <x v="0"/>
    <n v="2"/>
    <n v="1"/>
    <x v="1"/>
    <n v="9"/>
    <n v="7"/>
    <n v="16"/>
  </r>
  <r>
    <n v="1"/>
    <d v="2025-01-12T00:00:00"/>
    <x v="0"/>
    <n v="3"/>
    <n v="2"/>
    <x v="2"/>
    <n v="8"/>
    <n v="5"/>
    <n v="13"/>
  </r>
  <r>
    <n v="1"/>
    <d v="2025-01-12T00:00:00"/>
    <x v="0"/>
    <n v="4"/>
    <n v="5"/>
    <x v="3"/>
    <n v="7"/>
    <n v="3"/>
    <n v="10"/>
  </r>
  <r>
    <n v="1"/>
    <d v="2025-01-12T00:00:00"/>
    <x v="0"/>
    <n v="5"/>
    <n v="4"/>
    <x v="4"/>
    <n v="6"/>
    <n v="1"/>
    <n v="7"/>
  </r>
  <r>
    <n v="1"/>
    <d v="2025-01-12T00:00:00"/>
    <x v="0"/>
    <n v="6"/>
    <n v="7"/>
    <x v="5"/>
    <n v="5"/>
    <n v="0"/>
    <n v="5"/>
  </r>
  <r>
    <n v="1"/>
    <d v="2025-01-12T00:00:00"/>
    <x v="0"/>
    <n v="7"/>
    <n v="8"/>
    <x v="6"/>
    <n v="4"/>
    <n v="0"/>
    <n v="4"/>
  </r>
  <r>
    <n v="1"/>
    <d v="2025-01-12T00:00:00"/>
    <x v="0"/>
    <n v="8"/>
    <n v="6"/>
    <x v="7"/>
    <n v="3"/>
    <n v="0"/>
    <n v="3"/>
  </r>
  <r>
    <n v="1"/>
    <d v="2025-01-12T00:00:00"/>
    <x v="0"/>
    <n v="9"/>
    <n v="11"/>
    <x v="8"/>
    <n v="2"/>
    <n v="0"/>
    <n v="2"/>
  </r>
  <r>
    <n v="1"/>
    <d v="2025-01-12T00:00:00"/>
    <x v="0"/>
    <n v="10"/>
    <n v="9"/>
    <x v="9"/>
    <n v="1"/>
    <n v="0"/>
    <n v="1"/>
  </r>
  <r>
    <n v="1"/>
    <d v="2025-01-12T00:00:00"/>
    <x v="1"/>
    <n v="1"/>
    <n v="2"/>
    <x v="10"/>
    <n v="10"/>
    <n v="9"/>
    <n v="19"/>
  </r>
  <r>
    <n v="1"/>
    <d v="2025-01-12T00:00:00"/>
    <x v="1"/>
    <n v="2"/>
    <n v="1"/>
    <x v="11"/>
    <n v="9"/>
    <n v="7"/>
    <n v="16"/>
  </r>
  <r>
    <n v="1"/>
    <d v="2025-01-12T00:00:00"/>
    <x v="1"/>
    <n v="3"/>
    <n v="4"/>
    <x v="12"/>
    <n v="8"/>
    <n v="5"/>
    <n v="13"/>
  </r>
  <r>
    <n v="1"/>
    <d v="2025-01-12T00:00:00"/>
    <x v="1"/>
    <n v="4"/>
    <n v="6"/>
    <x v="13"/>
    <n v="7"/>
    <n v="3"/>
    <n v="10"/>
  </r>
  <r>
    <n v="1"/>
    <d v="2025-01-12T00:00:00"/>
    <x v="1"/>
    <n v="5"/>
    <n v="7"/>
    <x v="14"/>
    <n v="6"/>
    <n v="1"/>
    <n v="7"/>
  </r>
  <r>
    <n v="1"/>
    <d v="2025-01-12T00:00:00"/>
    <x v="1"/>
    <n v="6"/>
    <n v="8"/>
    <x v="15"/>
    <n v="5"/>
    <n v="0"/>
    <n v="5"/>
  </r>
  <r>
    <n v="1"/>
    <d v="2025-01-12T00:00:00"/>
    <x v="1"/>
    <n v="7"/>
    <n v="3"/>
    <x v="16"/>
    <n v="4"/>
    <n v="0"/>
    <n v="4"/>
  </r>
  <r>
    <n v="1"/>
    <d v="2025-01-12T00:00:00"/>
    <x v="1"/>
    <n v="8"/>
    <n v="5"/>
    <x v="17"/>
    <n v="3"/>
    <n v="0"/>
    <n v="3"/>
  </r>
  <r>
    <n v="1"/>
    <d v="2025-01-12T00:00:00"/>
    <x v="1"/>
    <n v="9"/>
    <n v="11"/>
    <x v="18"/>
    <n v="2"/>
    <n v="0"/>
    <n v="2"/>
  </r>
  <r>
    <n v="1"/>
    <d v="2025-01-12T00:00:00"/>
    <x v="1"/>
    <n v="10"/>
    <n v="10"/>
    <x v="19"/>
    <n v="1"/>
    <n v="0"/>
    <n v="1"/>
  </r>
  <r>
    <n v="2"/>
    <d v="2025-01-26T00:00:00"/>
    <x v="0"/>
    <n v="1"/>
    <n v="1"/>
    <x v="0"/>
    <n v="10"/>
    <n v="9"/>
    <n v="19"/>
  </r>
  <r>
    <n v="2"/>
    <d v="2025-01-26T00:00:00"/>
    <x v="0"/>
    <n v="2"/>
    <n v="2"/>
    <x v="1"/>
    <n v="9"/>
    <n v="7"/>
    <n v="16"/>
  </r>
  <r>
    <n v="2"/>
    <d v="2025-01-26T00:00:00"/>
    <x v="0"/>
    <n v="3"/>
    <n v="4"/>
    <x v="3"/>
    <n v="8"/>
    <n v="5"/>
    <n v="13"/>
  </r>
  <r>
    <n v="2"/>
    <d v="2025-01-26T00:00:00"/>
    <x v="0"/>
    <n v="4"/>
    <n v="3"/>
    <x v="2"/>
    <n v="7"/>
    <n v="3"/>
    <n v="10"/>
  </r>
  <r>
    <n v="2"/>
    <d v="2025-01-26T00:00:00"/>
    <x v="0"/>
    <n v="5"/>
    <n v="6"/>
    <x v="5"/>
    <n v="6"/>
    <n v="1"/>
    <n v="7"/>
  </r>
  <r>
    <n v="2"/>
    <d v="2025-01-26T00:00:00"/>
    <x v="0"/>
    <n v="6"/>
    <n v="7"/>
    <x v="6"/>
    <n v="5"/>
    <n v="0"/>
    <n v="5"/>
  </r>
  <r>
    <n v="2"/>
    <d v="2025-01-26T00:00:00"/>
    <x v="0"/>
    <n v="7"/>
    <n v="9"/>
    <x v="8"/>
    <n v="4"/>
    <n v="0"/>
    <n v="4"/>
  </r>
  <r>
    <n v="2"/>
    <d v="2025-01-26T00:00:00"/>
    <x v="0"/>
    <n v="8"/>
    <n v="5"/>
    <x v="4"/>
    <n v="3"/>
    <n v="0"/>
    <n v="3"/>
  </r>
  <r>
    <n v="2"/>
    <d v="2025-01-26T00:00:00"/>
    <x v="0"/>
    <n v="9"/>
    <n v="8"/>
    <x v="7"/>
    <n v="2"/>
    <n v="0"/>
    <n v="2"/>
  </r>
  <r>
    <n v="2"/>
    <d v="2025-01-26T00:00:00"/>
    <x v="0"/>
    <n v="10"/>
    <n v="10"/>
    <x v="9"/>
    <n v="1"/>
    <n v="0"/>
    <n v="1"/>
  </r>
  <r>
    <n v="2"/>
    <d v="2025-01-26T00:00:00"/>
    <x v="1"/>
    <n v="1"/>
    <n v="1"/>
    <x v="10"/>
    <n v="10"/>
    <n v="9"/>
    <n v="19"/>
  </r>
  <r>
    <n v="2"/>
    <d v="2025-01-26T00:00:00"/>
    <x v="1"/>
    <n v="2"/>
    <n v="3"/>
    <x v="12"/>
    <n v="9"/>
    <n v="7"/>
    <n v="16"/>
  </r>
  <r>
    <n v="2"/>
    <d v="2025-01-26T00:00:00"/>
    <x v="1"/>
    <n v="3"/>
    <n v="2"/>
    <x v="11"/>
    <n v="8"/>
    <n v="5"/>
    <n v="13"/>
  </r>
  <r>
    <n v="2"/>
    <d v="2025-01-26T00:00:00"/>
    <x v="1"/>
    <n v="4"/>
    <n v="4"/>
    <x v="13"/>
    <n v="7"/>
    <n v="3"/>
    <n v="10"/>
  </r>
  <r>
    <n v="2"/>
    <d v="2025-01-26T00:00:00"/>
    <x v="1"/>
    <n v="5"/>
    <n v="5"/>
    <x v="14"/>
    <n v="6"/>
    <n v="1"/>
    <n v="7"/>
  </r>
  <r>
    <n v="2"/>
    <d v="2025-01-26T00:00:00"/>
    <x v="1"/>
    <n v="6"/>
    <n v="6"/>
    <x v="15"/>
    <n v="5"/>
    <n v="0"/>
    <n v="5"/>
  </r>
  <r>
    <n v="2"/>
    <d v="2025-01-26T00:00:00"/>
    <x v="1"/>
    <n v="7"/>
    <n v="9"/>
    <x v="18"/>
    <n v="4"/>
    <n v="0"/>
    <n v="4"/>
  </r>
  <r>
    <n v="2"/>
    <d v="2025-01-26T00:00:00"/>
    <x v="1"/>
    <n v="8"/>
    <n v="8"/>
    <x v="17"/>
    <n v="3"/>
    <n v="0"/>
    <n v="3"/>
  </r>
  <r>
    <n v="2"/>
    <d v="2025-01-26T00:00:00"/>
    <x v="1"/>
    <n v="9"/>
    <n v="10"/>
    <x v="19"/>
    <n v="2"/>
    <n v="0"/>
    <n v="2"/>
  </r>
  <r>
    <n v="2"/>
    <d v="2025-01-26T00:00:00"/>
    <x v="1"/>
    <n v="10"/>
    <n v="7"/>
    <x v="16"/>
    <n v="1"/>
    <n v="0"/>
    <n v="1"/>
  </r>
  <r>
    <n v="3"/>
    <d v="2025-02-02T00:00:00"/>
    <x v="0"/>
    <n v="1"/>
    <n v="1"/>
    <x v="0"/>
    <n v="10"/>
    <n v="9"/>
    <n v="19"/>
  </r>
  <r>
    <n v="3"/>
    <d v="2025-02-02T00:00:00"/>
    <x v="0"/>
    <n v="2"/>
    <n v="3"/>
    <x v="3"/>
    <n v="9"/>
    <n v="7"/>
    <n v="16"/>
  </r>
  <r>
    <n v="3"/>
    <d v="2025-02-02T00:00:00"/>
    <x v="0"/>
    <n v="3"/>
    <n v="2"/>
    <x v="1"/>
    <n v="8"/>
    <n v="5"/>
    <n v="13"/>
  </r>
  <r>
    <n v="3"/>
    <d v="2025-02-02T00:00:00"/>
    <x v="0"/>
    <n v="4"/>
    <n v="5"/>
    <x v="5"/>
    <n v="7"/>
    <n v="3"/>
    <n v="10"/>
  </r>
  <r>
    <n v="3"/>
    <d v="2025-02-02T00:00:00"/>
    <x v="0"/>
    <n v="5"/>
    <n v="6"/>
    <x v="6"/>
    <n v="6"/>
    <n v="1"/>
    <n v="7"/>
  </r>
  <r>
    <n v="3"/>
    <d v="2025-02-02T00:00:00"/>
    <x v="0"/>
    <n v="6"/>
    <n v="4"/>
    <x v="2"/>
    <n v="5"/>
    <n v="0"/>
    <n v="5"/>
  </r>
  <r>
    <n v="3"/>
    <d v="2025-02-02T00:00:00"/>
    <x v="0"/>
    <n v="7"/>
    <n v="7"/>
    <x v="8"/>
    <n v="4"/>
    <n v="0"/>
    <n v="4"/>
  </r>
  <r>
    <n v="3"/>
    <d v="2025-02-02T00:00:00"/>
    <x v="0"/>
    <n v="8"/>
    <n v="11"/>
    <x v="20"/>
    <n v="3"/>
    <n v="0"/>
    <n v="3"/>
  </r>
  <r>
    <n v="3"/>
    <d v="2025-02-02T00:00:00"/>
    <x v="0"/>
    <n v="9"/>
    <n v="11"/>
    <x v="21"/>
    <n v="2"/>
    <n v="0"/>
    <n v="2"/>
  </r>
  <r>
    <n v="3"/>
    <d v="2025-02-02T00:00:00"/>
    <x v="0"/>
    <n v="10"/>
    <n v="8"/>
    <x v="4"/>
    <n v="1"/>
    <n v="0"/>
    <n v="1"/>
  </r>
  <r>
    <n v="3"/>
    <d v="2025-02-02T00:00:00"/>
    <x v="1"/>
    <n v="1"/>
    <n v="2"/>
    <x v="12"/>
    <n v="10"/>
    <n v="9"/>
    <n v="19"/>
  </r>
  <r>
    <n v="3"/>
    <d v="2025-02-02T00:00:00"/>
    <x v="1"/>
    <n v="2"/>
    <n v="1"/>
    <x v="10"/>
    <n v="9"/>
    <n v="7"/>
    <n v="16"/>
  </r>
  <r>
    <n v="3"/>
    <d v="2025-02-02T00:00:00"/>
    <x v="1"/>
    <n v="3"/>
    <n v="4"/>
    <x v="13"/>
    <n v="8"/>
    <n v="5"/>
    <n v="13"/>
  </r>
  <r>
    <n v="3"/>
    <d v="2025-02-02T00:00:00"/>
    <x v="1"/>
    <n v="4"/>
    <n v="5"/>
    <x v="14"/>
    <n v="7"/>
    <n v="3"/>
    <n v="10"/>
  </r>
  <r>
    <n v="3"/>
    <d v="2025-02-02T00:00:00"/>
    <x v="1"/>
    <n v="5"/>
    <n v="6"/>
    <x v="15"/>
    <n v="6"/>
    <n v="1"/>
    <n v="7"/>
  </r>
  <r>
    <n v="3"/>
    <d v="2025-02-02T00:00:00"/>
    <x v="1"/>
    <n v="6"/>
    <n v="3"/>
    <x v="11"/>
    <n v="5"/>
    <n v="0"/>
    <n v="5"/>
  </r>
  <r>
    <n v="3"/>
    <d v="2025-02-02T00:00:00"/>
    <x v="1"/>
    <n v="7"/>
    <n v="7"/>
    <x v="18"/>
    <n v="4"/>
    <n v="0"/>
    <n v="4"/>
  </r>
  <r>
    <n v="3"/>
    <d v="2025-02-02T00:00:00"/>
    <x v="1"/>
    <n v="8"/>
    <n v="9"/>
    <x v="19"/>
    <n v="3"/>
    <n v="0"/>
    <n v="3"/>
  </r>
  <r>
    <n v="3"/>
    <d v="2025-02-02T00:00:00"/>
    <x v="1"/>
    <n v="9"/>
    <n v="8"/>
    <x v="17"/>
    <n v="2"/>
    <n v="0"/>
    <n v="2"/>
  </r>
  <r>
    <n v="3"/>
    <d v="2025-02-02T00:00:00"/>
    <x v="1"/>
    <n v="10"/>
    <n v="11"/>
    <x v="22"/>
    <n v="1"/>
    <n v="0"/>
    <n v="1"/>
  </r>
  <r>
    <n v="4"/>
    <d v="2025-02-09T00:00:00"/>
    <x v="0"/>
    <n v="1"/>
    <n v="1"/>
    <x v="0"/>
    <n v="10"/>
    <n v="9"/>
    <n v="19"/>
  </r>
  <r>
    <n v="4"/>
    <d v="2025-02-09T00:00:00"/>
    <x v="0"/>
    <n v="2"/>
    <n v="2"/>
    <x v="3"/>
    <n v="9"/>
    <n v="7"/>
    <n v="16"/>
  </r>
  <r>
    <n v="4"/>
    <d v="2025-02-09T00:00:00"/>
    <x v="0"/>
    <n v="3"/>
    <n v="4"/>
    <x v="5"/>
    <n v="8"/>
    <n v="5"/>
    <n v="13"/>
  </r>
  <r>
    <n v="4"/>
    <d v="2025-02-09T00:00:00"/>
    <x v="0"/>
    <n v="4"/>
    <n v="5"/>
    <x v="6"/>
    <n v="7"/>
    <n v="3"/>
    <n v="10"/>
  </r>
  <r>
    <n v="4"/>
    <d v="2025-02-09T00:00:00"/>
    <x v="0"/>
    <n v="5"/>
    <n v="3"/>
    <x v="1"/>
    <n v="6"/>
    <n v="1"/>
    <n v="7"/>
  </r>
  <r>
    <n v="4"/>
    <d v="2025-02-09T00:00:00"/>
    <x v="0"/>
    <n v="6"/>
    <n v="7"/>
    <x v="8"/>
    <n v="5"/>
    <n v="0"/>
    <n v="5"/>
  </r>
  <r>
    <n v="4"/>
    <d v="2025-02-09T00:00:00"/>
    <x v="0"/>
    <n v="7"/>
    <n v="8"/>
    <x v="20"/>
    <n v="4"/>
    <n v="0"/>
    <n v="4"/>
  </r>
  <r>
    <n v="4"/>
    <d v="2025-02-09T00:00:00"/>
    <x v="0"/>
    <n v="8"/>
    <n v="9"/>
    <x v="21"/>
    <n v="3"/>
    <n v="0"/>
    <n v="3"/>
  </r>
  <r>
    <n v="4"/>
    <d v="2025-02-09T00:00:00"/>
    <x v="0"/>
    <n v="9"/>
    <n v="6"/>
    <x v="2"/>
    <n v="2"/>
    <n v="0"/>
    <n v="2"/>
  </r>
  <r>
    <n v="4"/>
    <d v="2025-02-09T00:00:00"/>
    <x v="0"/>
    <n v="10"/>
    <n v="11"/>
    <x v="23"/>
    <n v="1"/>
    <n v="0"/>
    <n v="1"/>
  </r>
  <r>
    <n v="4"/>
    <d v="2025-02-09T00:00:00"/>
    <x v="1"/>
    <n v="1"/>
    <n v="1"/>
    <x v="12"/>
    <n v="10"/>
    <n v="9"/>
    <n v="19"/>
  </r>
  <r>
    <n v="4"/>
    <d v="2025-02-09T00:00:00"/>
    <x v="1"/>
    <n v="2"/>
    <n v="3"/>
    <x v="13"/>
    <n v="9"/>
    <n v="7"/>
    <n v="16"/>
  </r>
  <r>
    <n v="4"/>
    <d v="2025-02-09T00:00:00"/>
    <x v="1"/>
    <n v="3"/>
    <n v="2"/>
    <x v="10"/>
    <n v="8"/>
    <n v="5"/>
    <n v="13"/>
  </r>
  <r>
    <n v="4"/>
    <d v="2025-02-09T00:00:00"/>
    <x v="1"/>
    <n v="4"/>
    <n v="4"/>
    <x v="14"/>
    <n v="7"/>
    <n v="3"/>
    <n v="10"/>
  </r>
  <r>
    <n v="4"/>
    <d v="2025-02-09T00:00:00"/>
    <x v="1"/>
    <n v="5"/>
    <n v="5"/>
    <x v="15"/>
    <n v="6"/>
    <n v="1"/>
    <n v="7"/>
  </r>
  <r>
    <n v="4"/>
    <d v="2025-02-09T00:00:00"/>
    <x v="1"/>
    <n v="6"/>
    <n v="7"/>
    <x v="18"/>
    <n v="5"/>
    <n v="0"/>
    <n v="5"/>
  </r>
  <r>
    <n v="4"/>
    <d v="2025-02-09T00:00:00"/>
    <x v="1"/>
    <n v="7"/>
    <n v="6"/>
    <x v="11"/>
    <n v="4"/>
    <n v="0"/>
    <n v="4"/>
  </r>
  <r>
    <n v="4"/>
    <d v="2025-02-09T00:00:00"/>
    <x v="1"/>
    <n v="8"/>
    <n v="10"/>
    <x v="22"/>
    <n v="3"/>
    <n v="0"/>
    <n v="3"/>
  </r>
  <r>
    <n v="4"/>
    <d v="2025-02-09T00:00:00"/>
    <x v="1"/>
    <n v="9"/>
    <n v="9"/>
    <x v="17"/>
    <n v="2"/>
    <n v="0"/>
    <n v="2"/>
  </r>
  <r>
    <n v="4"/>
    <d v="2025-02-09T00:00:00"/>
    <x v="1"/>
    <n v="10"/>
    <n v="11"/>
    <x v="24"/>
    <n v="1"/>
    <n v="0"/>
    <n v="1"/>
  </r>
  <r>
    <n v="5"/>
    <d v="2025-02-23T00:00:00"/>
    <x v="0"/>
    <n v="1"/>
    <n v="1"/>
    <x v="0"/>
    <n v="10"/>
    <n v="9"/>
    <n v="19"/>
  </r>
  <r>
    <n v="5"/>
    <d v="2025-02-23T00:00:00"/>
    <x v="0"/>
    <n v="2"/>
    <n v="2"/>
    <x v="3"/>
    <n v="9"/>
    <n v="7"/>
    <n v="16"/>
  </r>
  <r>
    <n v="5"/>
    <d v="2025-02-23T00:00:00"/>
    <x v="0"/>
    <n v="3"/>
    <n v="6"/>
    <x v="8"/>
    <n v="8"/>
    <n v="5"/>
    <n v="13"/>
  </r>
  <r>
    <n v="5"/>
    <d v="2025-02-23T00:00:00"/>
    <x v="0"/>
    <n v="4"/>
    <n v="3"/>
    <x v="5"/>
    <n v="7"/>
    <n v="3"/>
    <n v="10"/>
  </r>
  <r>
    <n v="5"/>
    <d v="2025-02-23T00:00:00"/>
    <x v="0"/>
    <n v="5"/>
    <n v="4"/>
    <x v="6"/>
    <n v="6"/>
    <n v="1"/>
    <n v="7"/>
  </r>
  <r>
    <n v="5"/>
    <d v="2025-02-23T00:00:00"/>
    <x v="0"/>
    <n v="6"/>
    <n v="7"/>
    <x v="20"/>
    <n v="5"/>
    <n v="0"/>
    <n v="5"/>
  </r>
  <r>
    <n v="5"/>
    <d v="2025-02-23T00:00:00"/>
    <x v="0"/>
    <n v="7"/>
    <n v="5"/>
    <x v="1"/>
    <n v="4"/>
    <n v="0"/>
    <n v="4"/>
  </r>
  <r>
    <n v="5"/>
    <d v="2025-02-23T00:00:00"/>
    <x v="0"/>
    <n v="8"/>
    <n v="8"/>
    <x v="21"/>
    <n v="3"/>
    <n v="0"/>
    <n v="3"/>
  </r>
  <r>
    <n v="5"/>
    <d v="2025-02-23T00:00:00"/>
    <x v="0"/>
    <n v="9"/>
    <n v="10"/>
    <x v="23"/>
    <n v="2"/>
    <n v="0"/>
    <n v="2"/>
  </r>
  <r>
    <n v="5"/>
    <d v="2025-02-23T00:00:00"/>
    <x v="0"/>
    <n v="10"/>
    <n v="9"/>
    <x v="2"/>
    <n v="1"/>
    <n v="0"/>
    <n v="1"/>
  </r>
  <r>
    <n v="5"/>
    <d v="2025-02-23T00:00:00"/>
    <x v="1"/>
    <n v="1"/>
    <n v="1"/>
    <x v="12"/>
    <n v="10"/>
    <n v="9"/>
    <n v="19"/>
  </r>
  <r>
    <n v="5"/>
    <d v="2025-02-23T00:00:00"/>
    <x v="1"/>
    <n v="2"/>
    <n v="2"/>
    <x v="13"/>
    <n v="9"/>
    <n v="7"/>
    <n v="16"/>
  </r>
  <r>
    <n v="5"/>
    <d v="2025-02-23T00:00:00"/>
    <x v="1"/>
    <n v="3"/>
    <n v="3"/>
    <x v="10"/>
    <n v="8"/>
    <n v="5"/>
    <n v="13"/>
  </r>
  <r>
    <n v="5"/>
    <d v="2025-02-23T00:00:00"/>
    <x v="1"/>
    <n v="4"/>
    <n v="6"/>
    <x v="18"/>
    <n v="7"/>
    <n v="3"/>
    <n v="10"/>
  </r>
  <r>
    <n v="5"/>
    <d v="2025-02-23T00:00:00"/>
    <x v="1"/>
    <n v="5"/>
    <n v="4"/>
    <x v="14"/>
    <n v="6"/>
    <n v="1"/>
    <n v="7"/>
  </r>
  <r>
    <n v="5"/>
    <d v="2025-02-23T00:00:00"/>
    <x v="1"/>
    <n v="6"/>
    <n v="5"/>
    <x v="15"/>
    <n v="5"/>
    <n v="0"/>
    <n v="5"/>
  </r>
  <r>
    <n v="5"/>
    <d v="2025-02-23T00:00:00"/>
    <x v="1"/>
    <n v="7"/>
    <n v="8"/>
    <x v="22"/>
    <n v="4"/>
    <n v="0"/>
    <n v="4"/>
  </r>
  <r>
    <n v="5"/>
    <d v="2025-02-23T00:00:00"/>
    <x v="1"/>
    <n v="8"/>
    <n v="10"/>
    <x v="24"/>
    <n v="3"/>
    <n v="0"/>
    <n v="3"/>
  </r>
  <r>
    <n v="5"/>
    <d v="2025-02-23T00:00:00"/>
    <x v="1"/>
    <n v="9"/>
    <n v="11"/>
    <x v="25"/>
    <n v="2"/>
    <n v="0"/>
    <n v="2"/>
  </r>
  <r>
    <n v="5"/>
    <d v="2025-02-23T00:00:00"/>
    <x v="1"/>
    <n v="10"/>
    <n v="9"/>
    <x v="17"/>
    <n v="1"/>
    <n v="0"/>
    <n v="1"/>
  </r>
  <r>
    <n v="6"/>
    <d v="2025-03-09T00:00:00"/>
    <x v="0"/>
    <n v="1"/>
    <n v="1"/>
    <x v="0"/>
    <n v="10"/>
    <n v="9"/>
    <n v="19"/>
  </r>
  <r>
    <n v="6"/>
    <d v="2025-03-09T00:00:00"/>
    <x v="0"/>
    <n v="2"/>
    <n v="2"/>
    <x v="3"/>
    <n v="9"/>
    <n v="7"/>
    <n v="16"/>
  </r>
  <r>
    <n v="6"/>
    <d v="2025-03-09T00:00:00"/>
    <x v="0"/>
    <n v="3"/>
    <n v="3"/>
    <x v="8"/>
    <n v="8"/>
    <n v="5"/>
    <n v="13"/>
  </r>
  <r>
    <n v="6"/>
    <d v="2025-03-09T00:00:00"/>
    <x v="0"/>
    <n v="4"/>
    <n v="4"/>
    <x v="5"/>
    <n v="7"/>
    <n v="3"/>
    <n v="10"/>
  </r>
  <r>
    <n v="6"/>
    <d v="2025-03-09T00:00:00"/>
    <x v="0"/>
    <n v="5"/>
    <n v="6"/>
    <x v="20"/>
    <n v="6"/>
    <n v="1"/>
    <n v="7"/>
  </r>
  <r>
    <n v="6"/>
    <d v="2025-03-09T00:00:00"/>
    <x v="0"/>
    <n v="6"/>
    <n v="7"/>
    <x v="1"/>
    <n v="5"/>
    <n v="0"/>
    <n v="5"/>
  </r>
  <r>
    <n v="6"/>
    <d v="2025-03-09T00:00:00"/>
    <x v="0"/>
    <n v="7"/>
    <n v="8"/>
    <x v="21"/>
    <n v="4"/>
    <n v="0"/>
    <n v="4"/>
  </r>
  <r>
    <n v="6"/>
    <d v="2025-03-09T00:00:00"/>
    <x v="0"/>
    <n v="8"/>
    <n v="9"/>
    <x v="23"/>
    <n v="3"/>
    <n v="0"/>
    <n v="3"/>
  </r>
  <r>
    <n v="6"/>
    <d v="2025-03-09T00:00:00"/>
    <x v="0"/>
    <n v="9"/>
    <n v="5"/>
    <x v="6"/>
    <n v="2"/>
    <n v="0"/>
    <n v="2"/>
  </r>
  <r>
    <n v="6"/>
    <d v="2025-03-09T00:00:00"/>
    <x v="0"/>
    <n v="10"/>
    <n v="11"/>
    <x v="26"/>
    <n v="1"/>
    <n v="0"/>
    <n v="1"/>
  </r>
  <r>
    <n v="6"/>
    <d v="2025-03-09T00:00:00"/>
    <x v="1"/>
    <n v="1"/>
    <n v="1"/>
    <x v="12"/>
    <n v="10"/>
    <n v="9"/>
    <n v="19"/>
  </r>
  <r>
    <n v="6"/>
    <d v="2025-03-09T00:00:00"/>
    <x v="1"/>
    <n v="2"/>
    <n v="2"/>
    <x v="13"/>
    <n v="9"/>
    <n v="7"/>
    <n v="16"/>
  </r>
  <r>
    <n v="6"/>
    <d v="2025-03-09T00:00:00"/>
    <x v="1"/>
    <n v="3"/>
    <n v="4"/>
    <x v="18"/>
    <n v="8"/>
    <n v="5"/>
    <n v="13"/>
  </r>
  <r>
    <n v="6"/>
    <d v="2025-03-09T00:00:00"/>
    <x v="1"/>
    <n v="4"/>
    <n v="3"/>
    <x v="10"/>
    <n v="7"/>
    <n v="3"/>
    <n v="10"/>
  </r>
  <r>
    <n v="6"/>
    <d v="2025-03-09T00:00:00"/>
    <x v="1"/>
    <n v="5"/>
    <n v="5"/>
    <x v="14"/>
    <n v="6"/>
    <n v="1"/>
    <n v="7"/>
  </r>
  <r>
    <n v="6"/>
    <d v="2025-03-09T00:00:00"/>
    <x v="1"/>
    <n v="6"/>
    <n v="7"/>
    <x v="22"/>
    <n v="5"/>
    <n v="0"/>
    <n v="5"/>
  </r>
  <r>
    <n v="6"/>
    <d v="2025-03-09T00:00:00"/>
    <x v="1"/>
    <n v="7"/>
    <n v="6"/>
    <x v="15"/>
    <n v="4"/>
    <n v="0"/>
    <n v="4"/>
  </r>
  <r>
    <n v="6"/>
    <d v="2025-03-09T00:00:00"/>
    <x v="1"/>
    <n v="8"/>
    <n v="8"/>
    <x v="24"/>
    <n v="3"/>
    <n v="0"/>
    <n v="3"/>
  </r>
  <r>
    <n v="6"/>
    <d v="2025-03-09T00:00:00"/>
    <x v="1"/>
    <n v="9"/>
    <n v="9"/>
    <x v="25"/>
    <n v="2"/>
    <n v="0"/>
    <n v="2"/>
  </r>
  <r>
    <n v="6"/>
    <d v="2025-03-09T00:00:00"/>
    <x v="1"/>
    <n v="10"/>
    <n v="10"/>
    <x v="17"/>
    <n v="1"/>
    <n v="0"/>
    <n v="1"/>
  </r>
  <r>
    <n v="7"/>
    <d v="2025-03-23T00:00:00"/>
    <x v="0"/>
    <n v="1"/>
    <n v="2"/>
    <x v="3"/>
    <n v="10"/>
    <n v="9"/>
    <n v="19"/>
  </r>
  <r>
    <n v="7"/>
    <d v="2025-03-23T00:00:00"/>
    <x v="0"/>
    <n v="2"/>
    <n v="3"/>
    <x v="8"/>
    <n v="9"/>
    <n v="7"/>
    <n v="16"/>
  </r>
  <r>
    <n v="7"/>
    <d v="2025-03-23T00:00:00"/>
    <x v="0"/>
    <n v="3"/>
    <n v="4"/>
    <x v="5"/>
    <n v="8"/>
    <n v="5"/>
    <n v="13"/>
  </r>
  <r>
    <n v="7"/>
    <d v="2025-03-23T00:00:00"/>
    <x v="0"/>
    <n v="4"/>
    <n v="1"/>
    <x v="0"/>
    <n v="7"/>
    <n v="3"/>
    <n v="10"/>
  </r>
  <r>
    <n v="7"/>
    <d v="2025-03-23T00:00:00"/>
    <x v="0"/>
    <n v="5"/>
    <n v="5"/>
    <x v="20"/>
    <n v="6"/>
    <n v="1"/>
    <n v="7"/>
  </r>
  <r>
    <n v="7"/>
    <d v="2025-03-23T00:00:00"/>
    <x v="0"/>
    <n v="6"/>
    <n v="7"/>
    <x v="21"/>
    <n v="5"/>
    <n v="0"/>
    <n v="5"/>
  </r>
  <r>
    <n v="7"/>
    <d v="2025-03-23T00:00:00"/>
    <x v="0"/>
    <n v="7"/>
    <n v="8"/>
    <x v="23"/>
    <n v="4"/>
    <n v="0"/>
    <n v="4"/>
  </r>
  <r>
    <n v="7"/>
    <d v="2025-03-23T00:00:00"/>
    <x v="0"/>
    <n v="8"/>
    <n v="10"/>
    <x v="26"/>
    <n v="3"/>
    <n v="0"/>
    <n v="3"/>
  </r>
  <r>
    <n v="7"/>
    <d v="2025-03-23T00:00:00"/>
    <x v="0"/>
    <n v="9"/>
    <n v="6"/>
    <x v="1"/>
    <n v="2"/>
    <n v="0"/>
    <n v="2"/>
  </r>
  <r>
    <n v="7"/>
    <d v="2025-03-23T00:00:00"/>
    <x v="0"/>
    <n v="10"/>
    <n v="11"/>
    <x v="27"/>
    <n v="1"/>
    <n v="0"/>
    <n v="1"/>
  </r>
  <r>
    <n v="7"/>
    <d v="2025-03-23T00:00:00"/>
    <x v="1"/>
    <n v="1"/>
    <n v="1"/>
    <x v="12"/>
    <n v="10"/>
    <n v="9"/>
    <n v="19"/>
  </r>
  <r>
    <n v="7"/>
    <d v="2025-03-23T00:00:00"/>
    <x v="1"/>
    <n v="2"/>
    <n v="3"/>
    <x v="18"/>
    <n v="9"/>
    <n v="7"/>
    <n v="16"/>
  </r>
  <r>
    <n v="7"/>
    <d v="2025-03-23T00:00:00"/>
    <x v="1"/>
    <n v="3"/>
    <n v="2"/>
    <x v="13"/>
    <n v="8"/>
    <n v="5"/>
    <n v="13"/>
  </r>
  <r>
    <n v="7"/>
    <d v="2025-03-23T00:00:00"/>
    <x v="1"/>
    <n v="4"/>
    <n v="6"/>
    <x v="22"/>
    <n v="7"/>
    <n v="3"/>
    <n v="10"/>
  </r>
  <r>
    <n v="7"/>
    <d v="2025-03-23T00:00:00"/>
    <x v="1"/>
    <n v="5"/>
    <n v="4"/>
    <x v="10"/>
    <n v="6"/>
    <n v="1"/>
    <n v="7"/>
  </r>
  <r>
    <n v="7"/>
    <d v="2025-03-23T00:00:00"/>
    <x v="1"/>
    <n v="6"/>
    <n v="8"/>
    <x v="24"/>
    <n v="5"/>
    <n v="0"/>
    <n v="5"/>
  </r>
  <r>
    <n v="7"/>
    <d v="2025-03-23T00:00:00"/>
    <x v="1"/>
    <n v="7"/>
    <n v="9"/>
    <x v="25"/>
    <n v="4"/>
    <n v="0"/>
    <n v="4"/>
  </r>
  <r>
    <n v="7"/>
    <d v="2025-03-23T00:00:00"/>
    <x v="1"/>
    <n v="8"/>
    <n v="5"/>
    <x v="14"/>
    <n v="3"/>
    <n v="0"/>
    <n v="3"/>
  </r>
  <r>
    <n v="7"/>
    <d v="2025-03-23T00:00:00"/>
    <x v="1"/>
    <n v="9"/>
    <n v="7"/>
    <x v="15"/>
    <n v="2"/>
    <n v="0"/>
    <n v="2"/>
  </r>
  <r>
    <n v="7"/>
    <d v="2025-03-23T00:00:00"/>
    <x v="1"/>
    <n v="10"/>
    <n v="11"/>
    <x v="28"/>
    <n v="1"/>
    <n v="0"/>
    <n v="1"/>
  </r>
  <r>
    <n v="8"/>
    <d v="2025-04-06T00:00:00"/>
    <x v="0"/>
    <n v="1"/>
    <n v="1"/>
    <x v="3"/>
    <n v="10"/>
    <n v="9"/>
    <n v="19"/>
  </r>
  <r>
    <n v="8"/>
    <d v="2025-04-06T00:00:00"/>
    <x v="0"/>
    <n v="2"/>
    <n v="2"/>
    <x v="8"/>
    <n v="9"/>
    <n v="7"/>
    <n v="16"/>
  </r>
  <r>
    <n v="8"/>
    <d v="2025-04-06T00:00:00"/>
    <x v="0"/>
    <n v="3"/>
    <n v="5"/>
    <x v="20"/>
    <n v="8"/>
    <n v="5"/>
    <n v="13"/>
  </r>
  <r>
    <n v="8"/>
    <d v="2025-04-06T00:00:00"/>
    <x v="0"/>
    <n v="4"/>
    <n v="3"/>
    <x v="5"/>
    <n v="7"/>
    <n v="3"/>
    <n v="10"/>
  </r>
  <r>
    <n v="8"/>
    <d v="2025-04-06T00:00:00"/>
    <x v="0"/>
    <n v="5"/>
    <n v="4"/>
    <x v="0"/>
    <n v="6"/>
    <n v="1"/>
    <n v="7"/>
  </r>
  <r>
    <n v="8"/>
    <d v="2025-04-06T00:00:00"/>
    <x v="0"/>
    <n v="6"/>
    <n v="6"/>
    <x v="21"/>
    <n v="5"/>
    <n v="0"/>
    <n v="5"/>
  </r>
  <r>
    <n v="8"/>
    <d v="2025-04-06T00:00:00"/>
    <x v="0"/>
    <n v="7"/>
    <n v="7"/>
    <x v="23"/>
    <n v="4"/>
    <n v="0"/>
    <n v="4"/>
  </r>
  <r>
    <n v="8"/>
    <d v="2025-04-06T00:00:00"/>
    <x v="0"/>
    <n v="8"/>
    <n v="8"/>
    <x v="26"/>
    <n v="3"/>
    <n v="0"/>
    <n v="3"/>
  </r>
  <r>
    <n v="8"/>
    <d v="2025-04-06T00:00:00"/>
    <x v="0"/>
    <n v="9"/>
    <n v="10"/>
    <x v="27"/>
    <n v="2"/>
    <n v="0"/>
    <n v="2"/>
  </r>
  <r>
    <n v="8"/>
    <d v="2025-04-06T00:00:00"/>
    <x v="0"/>
    <n v="10"/>
    <n v="11"/>
    <x v="29"/>
    <n v="1"/>
    <n v="0"/>
    <n v="1"/>
  </r>
  <r>
    <n v="8"/>
    <d v="2025-04-06T00:00:00"/>
    <x v="1"/>
    <n v="1"/>
    <n v="2"/>
    <x v="18"/>
    <n v="10"/>
    <n v="9"/>
    <n v="19"/>
  </r>
  <r>
    <n v="8"/>
    <d v="2025-04-06T00:00:00"/>
    <x v="1"/>
    <n v="2"/>
    <n v="1"/>
    <x v="12"/>
    <n v="9"/>
    <n v="7"/>
    <n v="16"/>
  </r>
  <r>
    <n v="8"/>
    <d v="2025-04-06T00:00:00"/>
    <x v="1"/>
    <n v="3"/>
    <n v="4"/>
    <x v="22"/>
    <n v="8"/>
    <n v="5"/>
    <n v="13"/>
  </r>
  <r>
    <n v="8"/>
    <d v="2025-04-06T00:00:00"/>
    <x v="1"/>
    <n v="4"/>
    <n v="3"/>
    <x v="13"/>
    <n v="7"/>
    <n v="3"/>
    <n v="10"/>
  </r>
  <r>
    <n v="8"/>
    <d v="2025-04-06T00:00:00"/>
    <x v="1"/>
    <n v="5"/>
    <n v="6"/>
    <x v="24"/>
    <n v="6"/>
    <n v="1"/>
    <n v="7"/>
  </r>
  <r>
    <n v="8"/>
    <d v="2025-04-06T00:00:00"/>
    <x v="1"/>
    <n v="6"/>
    <n v="11"/>
    <x v="30"/>
    <n v="5"/>
    <n v="0"/>
    <n v="5"/>
  </r>
  <r>
    <n v="8"/>
    <d v="2025-04-06T00:00:00"/>
    <x v="1"/>
    <n v="7"/>
    <n v="7"/>
    <x v="25"/>
    <n v="4"/>
    <n v="0"/>
    <n v="4"/>
  </r>
  <r>
    <n v="8"/>
    <d v="2025-04-06T00:00:00"/>
    <x v="1"/>
    <n v="8"/>
    <n v="10"/>
    <x v="28"/>
    <n v="3"/>
    <n v="0"/>
    <n v="3"/>
  </r>
  <r>
    <n v="8"/>
    <d v="2025-04-06T00:00:00"/>
    <x v="1"/>
    <n v="9"/>
    <n v="5"/>
    <x v="10"/>
    <n v="2"/>
    <n v="0"/>
    <n v="2"/>
  </r>
  <r>
    <n v="8"/>
    <d v="2025-04-06T00:00:00"/>
    <x v="1"/>
    <n v="10"/>
    <n v="11"/>
    <x v="31"/>
    <n v="1"/>
    <n v="0"/>
    <n v="1"/>
  </r>
  <r>
    <n v="9"/>
    <d v="2025-04-20T00:00:00"/>
    <x v="0"/>
    <n v="1"/>
    <n v="2"/>
    <x v="8"/>
    <n v="10"/>
    <n v="9"/>
    <n v="19"/>
  </r>
  <r>
    <n v="9"/>
    <d v="2025-04-20T00:00:00"/>
    <x v="0"/>
    <n v="2"/>
    <n v="1"/>
    <x v="3"/>
    <n v="9"/>
    <n v="7"/>
    <n v="16"/>
  </r>
  <r>
    <n v="9"/>
    <d v="2025-04-20T00:00:00"/>
    <x v="0"/>
    <n v="3"/>
    <n v="3"/>
    <x v="20"/>
    <n v="8"/>
    <n v="5"/>
    <n v="13"/>
  </r>
  <r>
    <n v="9"/>
    <d v="2025-04-20T00:00:00"/>
    <x v="0"/>
    <n v="4"/>
    <n v="6"/>
    <x v="21"/>
    <n v="7"/>
    <n v="3"/>
    <n v="10"/>
  </r>
  <r>
    <n v="9"/>
    <d v="2025-04-20T00:00:00"/>
    <x v="0"/>
    <n v="5"/>
    <n v="4"/>
    <x v="5"/>
    <n v="6"/>
    <n v="1"/>
    <n v="7"/>
  </r>
  <r>
    <n v="9"/>
    <d v="2025-04-20T00:00:00"/>
    <x v="0"/>
    <n v="6"/>
    <n v="7"/>
    <x v="23"/>
    <n v="5"/>
    <n v="0"/>
    <n v="5"/>
  </r>
  <r>
    <n v="9"/>
    <d v="2025-04-20T00:00:00"/>
    <x v="0"/>
    <n v="7"/>
    <n v="9"/>
    <x v="27"/>
    <n v="4"/>
    <n v="0"/>
    <n v="4"/>
  </r>
  <r>
    <n v="9"/>
    <d v="2025-04-20T00:00:00"/>
    <x v="0"/>
    <n v="8"/>
    <n v="5"/>
    <x v="0"/>
    <n v="3"/>
    <n v="0"/>
    <n v="3"/>
  </r>
  <r>
    <n v="9"/>
    <d v="2025-04-20T00:00:00"/>
    <x v="0"/>
    <n v="9"/>
    <n v="8"/>
    <x v="26"/>
    <n v="2"/>
    <n v="0"/>
    <n v="2"/>
  </r>
  <r>
    <n v="9"/>
    <d v="2025-04-20T00:00:00"/>
    <x v="0"/>
    <n v="10"/>
    <n v="10"/>
    <x v="29"/>
    <n v="1"/>
    <n v="0"/>
    <n v="1"/>
  </r>
  <r>
    <n v="9"/>
    <d v="2025-04-20T00:00:00"/>
    <x v="1"/>
    <n v="1"/>
    <n v="1"/>
    <x v="18"/>
    <n v="10"/>
    <n v="9"/>
    <n v="19"/>
  </r>
  <r>
    <n v="9"/>
    <d v="2025-04-20T00:00:00"/>
    <x v="1"/>
    <n v="2"/>
    <n v="3"/>
    <x v="22"/>
    <n v="9"/>
    <n v="7"/>
    <n v="16"/>
  </r>
  <r>
    <n v="9"/>
    <d v="2025-04-20T00:00:00"/>
    <x v="1"/>
    <n v="3"/>
    <n v="2"/>
    <x v="12"/>
    <n v="8"/>
    <n v="5"/>
    <n v="13"/>
  </r>
  <r>
    <n v="9"/>
    <d v="2025-04-20T00:00:00"/>
    <x v="1"/>
    <n v="4"/>
    <n v="5"/>
    <x v="24"/>
    <n v="7"/>
    <n v="3"/>
    <n v="10"/>
  </r>
  <r>
    <n v="9"/>
    <d v="2025-04-20T00:00:00"/>
    <x v="1"/>
    <n v="5"/>
    <n v="6"/>
    <x v="30"/>
    <n v="6"/>
    <n v="1"/>
    <n v="7"/>
  </r>
  <r>
    <n v="9"/>
    <d v="2025-04-20T00:00:00"/>
    <x v="1"/>
    <n v="6"/>
    <n v="7"/>
    <x v="25"/>
    <n v="5"/>
    <n v="0"/>
    <n v="5"/>
  </r>
  <r>
    <n v="9"/>
    <d v="2025-04-20T00:00:00"/>
    <x v="1"/>
    <n v="7"/>
    <n v="4"/>
    <x v="13"/>
    <n v="4"/>
    <n v="0"/>
    <n v="4"/>
  </r>
  <r>
    <n v="9"/>
    <d v="2025-04-20T00:00:00"/>
    <x v="1"/>
    <n v="8"/>
    <n v="8"/>
    <x v="28"/>
    <n v="3"/>
    <n v="0"/>
    <n v="3"/>
  </r>
  <r>
    <n v="9"/>
    <d v="2025-04-20T00:00:00"/>
    <x v="1"/>
    <n v="9"/>
    <n v="10"/>
    <x v="31"/>
    <n v="2"/>
    <n v="0"/>
    <n v="2"/>
  </r>
  <r>
    <n v="9"/>
    <d v="2025-04-20T00:00:00"/>
    <x v="1"/>
    <n v="10"/>
    <n v="11"/>
    <x v="32"/>
    <n v="1"/>
    <n v="0"/>
    <n v="1"/>
  </r>
  <r>
    <n v="10"/>
    <d v="2025-05-04T00:00:00"/>
    <x v="0"/>
    <n v="1"/>
    <n v="1"/>
    <x v="8"/>
    <n v="10"/>
    <n v="9"/>
    <n v="19"/>
  </r>
  <r>
    <n v="10"/>
    <d v="2025-05-04T00:00:00"/>
    <x v="0"/>
    <n v="2"/>
    <n v="3"/>
    <x v="20"/>
    <n v="9"/>
    <n v="7"/>
    <n v="16"/>
  </r>
  <r>
    <n v="10"/>
    <d v="2025-05-04T00:00:00"/>
    <x v="0"/>
    <n v="3"/>
    <n v="2"/>
    <x v="3"/>
    <n v="8"/>
    <n v="5"/>
    <n v="13"/>
  </r>
  <r>
    <n v="10"/>
    <d v="2025-05-04T00:00:00"/>
    <x v="0"/>
    <n v="4"/>
    <n v="4"/>
    <x v="21"/>
    <n v="7"/>
    <n v="3"/>
    <n v="10"/>
  </r>
  <r>
    <n v="10"/>
    <d v="2025-05-04T00:00:00"/>
    <x v="0"/>
    <n v="5"/>
    <n v="6"/>
    <x v="23"/>
    <n v="6"/>
    <n v="1"/>
    <n v="7"/>
  </r>
  <r>
    <n v="10"/>
    <d v="2025-05-04T00:00:00"/>
    <x v="0"/>
    <n v="6"/>
    <n v="7"/>
    <x v="27"/>
    <n v="5"/>
    <n v="0"/>
    <n v="5"/>
  </r>
  <r>
    <n v="10"/>
    <d v="2025-05-04T00:00:00"/>
    <x v="0"/>
    <n v="7"/>
    <n v="9"/>
    <x v="26"/>
    <n v="4"/>
    <n v="0"/>
    <n v="4"/>
  </r>
  <r>
    <n v="10"/>
    <d v="2025-05-04T00:00:00"/>
    <x v="0"/>
    <n v="8"/>
    <n v="5"/>
    <x v="5"/>
    <n v="3"/>
    <n v="0"/>
    <n v="3"/>
  </r>
  <r>
    <n v="10"/>
    <d v="2025-05-04T00:00:00"/>
    <x v="0"/>
    <n v="9"/>
    <n v="10"/>
    <x v="29"/>
    <n v="2"/>
    <n v="0"/>
    <n v="2"/>
  </r>
  <r>
    <n v="10"/>
    <d v="2025-05-04T00:00:00"/>
    <x v="0"/>
    <n v="10"/>
    <n v="8"/>
    <x v="0"/>
    <n v="1"/>
    <n v="0"/>
    <n v="1"/>
  </r>
  <r>
    <n v="10"/>
    <d v="2025-05-04T00:00:00"/>
    <x v="1"/>
    <n v="1"/>
    <n v="1"/>
    <x v="18"/>
    <n v="10"/>
    <n v="9"/>
    <n v="19"/>
  </r>
  <r>
    <n v="10"/>
    <d v="2025-05-04T00:00:00"/>
    <x v="1"/>
    <n v="2"/>
    <n v="2"/>
    <x v="22"/>
    <n v="9"/>
    <n v="7"/>
    <n v="16"/>
  </r>
  <r>
    <n v="10"/>
    <d v="2025-05-04T00:00:00"/>
    <x v="1"/>
    <n v="3"/>
    <n v="5"/>
    <x v="30"/>
    <n v="8"/>
    <n v="5"/>
    <n v="13"/>
  </r>
  <r>
    <n v="10"/>
    <d v="2025-05-04T00:00:00"/>
    <x v="1"/>
    <n v="4"/>
    <n v="4"/>
    <x v="24"/>
    <n v="7"/>
    <n v="3"/>
    <n v="10"/>
  </r>
  <r>
    <n v="10"/>
    <d v="2025-05-04T00:00:00"/>
    <x v="1"/>
    <n v="5"/>
    <n v="3"/>
    <x v="12"/>
    <n v="6"/>
    <n v="1"/>
    <n v="7"/>
  </r>
  <r>
    <n v="10"/>
    <d v="2025-05-04T00:00:00"/>
    <x v="1"/>
    <n v="6"/>
    <n v="6"/>
    <x v="25"/>
    <n v="5"/>
    <n v="0"/>
    <n v="5"/>
  </r>
  <r>
    <n v="10"/>
    <d v="2025-05-04T00:00:00"/>
    <x v="1"/>
    <n v="7"/>
    <n v="8"/>
    <x v="28"/>
    <n v="4"/>
    <n v="0"/>
    <n v="4"/>
  </r>
  <r>
    <n v="10"/>
    <d v="2025-05-04T00:00:00"/>
    <x v="1"/>
    <n v="8"/>
    <n v="10"/>
    <x v="32"/>
    <n v="3"/>
    <n v="0"/>
    <n v="3"/>
  </r>
  <r>
    <n v="10"/>
    <d v="2025-05-04T00:00:00"/>
    <x v="1"/>
    <n v="9"/>
    <n v="9"/>
    <x v="31"/>
    <n v="2"/>
    <n v="0"/>
    <n v="2"/>
  </r>
  <r>
    <n v="10"/>
    <d v="2025-05-04T00:00:00"/>
    <x v="1"/>
    <n v="10"/>
    <n v="11"/>
    <x v="33"/>
    <n v="1"/>
    <n v="0"/>
    <n v="1"/>
  </r>
  <r>
    <n v="11"/>
    <d v="2025-05-18T00:00:00"/>
    <x v="0"/>
    <n v="1"/>
    <n v="1"/>
    <x v="8"/>
    <n v="10"/>
    <n v="9"/>
    <n v="19"/>
  </r>
  <r>
    <n v="11"/>
    <d v="2025-05-18T00:00:00"/>
    <x v="0"/>
    <n v="2"/>
    <n v="2"/>
    <x v="20"/>
    <n v="9"/>
    <n v="7"/>
    <n v="16"/>
  </r>
  <r>
    <n v="11"/>
    <d v="2025-05-18T00:00:00"/>
    <x v="0"/>
    <n v="3"/>
    <n v="4"/>
    <x v="21"/>
    <n v="8"/>
    <n v="5"/>
    <n v="13"/>
  </r>
  <r>
    <n v="11"/>
    <d v="2025-05-18T00:00:00"/>
    <x v="0"/>
    <n v="4"/>
    <n v="5"/>
    <x v="23"/>
    <n v="7"/>
    <n v="3"/>
    <n v="10"/>
  </r>
  <r>
    <n v="11"/>
    <d v="2025-05-18T00:00:00"/>
    <x v="0"/>
    <n v="5"/>
    <n v="6"/>
    <x v="27"/>
    <n v="6"/>
    <n v="1"/>
    <n v="7"/>
  </r>
  <r>
    <n v="11"/>
    <d v="2025-05-18T00:00:00"/>
    <x v="0"/>
    <n v="6"/>
    <n v="7"/>
    <x v="26"/>
    <n v="5"/>
    <n v="0"/>
    <n v="5"/>
  </r>
  <r>
    <n v="11"/>
    <d v="2025-05-18T00:00:00"/>
    <x v="0"/>
    <n v="7"/>
    <n v="3"/>
    <x v="3"/>
    <n v="4"/>
    <n v="0"/>
    <n v="4"/>
  </r>
  <r>
    <n v="11"/>
    <d v="2025-05-18T00:00:00"/>
    <x v="0"/>
    <n v="8"/>
    <n v="9"/>
    <x v="29"/>
    <n v="3"/>
    <n v="0"/>
    <n v="3"/>
  </r>
  <r>
    <n v="11"/>
    <d v="2025-05-18T00:00:00"/>
    <x v="0"/>
    <n v="9"/>
    <n v="11"/>
    <x v="34"/>
    <n v="2"/>
    <n v="0"/>
    <n v="2"/>
  </r>
  <r>
    <n v="11"/>
    <d v="2025-05-18T00:00:00"/>
    <x v="0"/>
    <n v="10"/>
    <n v="11"/>
    <x v="35"/>
    <n v="1"/>
    <n v="0"/>
    <n v="1"/>
  </r>
  <r>
    <n v="11"/>
    <d v="2025-05-18T00:00:00"/>
    <x v="1"/>
    <n v="1"/>
    <n v="2"/>
    <x v="22"/>
    <n v="10"/>
    <n v="9"/>
    <n v="19"/>
  </r>
  <r>
    <n v="11"/>
    <d v="2025-05-18T00:00:00"/>
    <x v="1"/>
    <n v="2"/>
    <n v="3"/>
    <x v="30"/>
    <n v="9"/>
    <n v="7"/>
    <n v="16"/>
  </r>
  <r>
    <n v="11"/>
    <d v="2025-05-18T00:00:00"/>
    <x v="1"/>
    <n v="3"/>
    <n v="1"/>
    <x v="18"/>
    <n v="8"/>
    <n v="5"/>
    <n v="13"/>
  </r>
  <r>
    <n v="11"/>
    <d v="2025-05-18T00:00:00"/>
    <x v="1"/>
    <n v="4"/>
    <n v="6"/>
    <x v="25"/>
    <n v="7"/>
    <n v="3"/>
    <n v="10"/>
  </r>
  <r>
    <n v="11"/>
    <d v="2025-05-18T00:00:00"/>
    <x v="1"/>
    <n v="5"/>
    <n v="4"/>
    <x v="24"/>
    <n v="6"/>
    <n v="1"/>
    <n v="7"/>
  </r>
  <r>
    <n v="11"/>
    <d v="2025-05-18T00:00:00"/>
    <x v="1"/>
    <n v="6"/>
    <n v="7"/>
    <x v="28"/>
    <n v="5"/>
    <n v="0"/>
    <n v="5"/>
  </r>
  <r>
    <n v="11"/>
    <d v="2025-05-18T00:00:00"/>
    <x v="1"/>
    <n v="7"/>
    <n v="8"/>
    <x v="32"/>
    <n v="4"/>
    <n v="0"/>
    <n v="4"/>
  </r>
  <r>
    <n v="11"/>
    <d v="2025-05-18T00:00:00"/>
    <x v="1"/>
    <n v="8"/>
    <n v="9"/>
    <x v="31"/>
    <n v="3"/>
    <n v="0"/>
    <n v="3"/>
  </r>
  <r>
    <n v="11"/>
    <d v="2025-05-18T00:00:00"/>
    <x v="1"/>
    <n v="9"/>
    <n v="10"/>
    <x v="33"/>
    <n v="2"/>
    <n v="0"/>
    <n v="2"/>
  </r>
  <r>
    <n v="11"/>
    <d v="2025-05-18T00:00:00"/>
    <x v="1"/>
    <n v="10"/>
    <n v="5"/>
    <x v="12"/>
    <n v="1"/>
    <n v="0"/>
    <n v="1"/>
  </r>
  <r>
    <n v="12"/>
    <d v="2025-06-01T00:00:00"/>
    <x v="0"/>
    <n v="1"/>
    <n v="2"/>
    <x v="20"/>
    <n v="10"/>
    <n v="9"/>
    <n v="19"/>
  </r>
  <r>
    <n v="12"/>
    <d v="2025-06-01T00:00:00"/>
    <x v="0"/>
    <n v="2"/>
    <n v="1"/>
    <x v="8"/>
    <n v="9"/>
    <n v="7"/>
    <n v="16"/>
  </r>
  <r>
    <n v="12"/>
    <d v="2025-06-01T00:00:00"/>
    <x v="0"/>
    <n v="3"/>
    <n v="5"/>
    <x v="27"/>
    <n v="8"/>
    <n v="5"/>
    <n v="13"/>
  </r>
  <r>
    <n v="12"/>
    <d v="2025-06-01T00:00:00"/>
    <x v="0"/>
    <n v="4"/>
    <n v="3"/>
    <x v="21"/>
    <n v="7"/>
    <n v="3"/>
    <n v="10"/>
  </r>
  <r>
    <n v="12"/>
    <d v="2025-06-01T00:00:00"/>
    <x v="0"/>
    <n v="5"/>
    <n v="4"/>
    <x v="23"/>
    <n v="6"/>
    <n v="1"/>
    <n v="7"/>
  </r>
  <r>
    <n v="12"/>
    <d v="2025-06-01T00:00:00"/>
    <x v="0"/>
    <n v="6"/>
    <n v="6"/>
    <x v="26"/>
    <n v="5"/>
    <n v="0"/>
    <n v="5"/>
  </r>
  <r>
    <n v="12"/>
    <d v="2025-06-01T00:00:00"/>
    <x v="0"/>
    <n v="7"/>
    <n v="8"/>
    <x v="29"/>
    <n v="4"/>
    <n v="0"/>
    <n v="4"/>
  </r>
  <r>
    <n v="12"/>
    <d v="2025-06-01T00:00:00"/>
    <x v="0"/>
    <n v="8"/>
    <n v="9"/>
    <x v="34"/>
    <n v="3"/>
    <n v="0"/>
    <n v="3"/>
  </r>
  <r>
    <n v="12"/>
    <d v="2025-06-01T00:00:00"/>
    <x v="0"/>
    <n v="9"/>
    <n v="10"/>
    <x v="35"/>
    <n v="2"/>
    <n v="0"/>
    <n v="2"/>
  </r>
  <r>
    <n v="12"/>
    <d v="2025-06-01T00:00:00"/>
    <x v="0"/>
    <n v="10"/>
    <n v="7"/>
    <x v="3"/>
    <n v="1"/>
    <n v="0"/>
    <n v="1"/>
  </r>
  <r>
    <n v="12"/>
    <d v="2025-06-01T00:00:00"/>
    <x v="1"/>
    <n v="1"/>
    <n v="1"/>
    <x v="22"/>
    <n v="10"/>
    <n v="9"/>
    <n v="19"/>
  </r>
  <r>
    <n v="12"/>
    <d v="2025-06-01T00:00:00"/>
    <x v="1"/>
    <n v="2"/>
    <n v="2"/>
    <x v="30"/>
    <n v="9"/>
    <n v="7"/>
    <n v="16"/>
  </r>
  <r>
    <n v="12"/>
    <d v="2025-06-01T00:00:00"/>
    <x v="1"/>
    <n v="3"/>
    <n v="4"/>
    <x v="25"/>
    <n v="8"/>
    <n v="5"/>
    <n v="13"/>
  </r>
  <r>
    <n v="12"/>
    <d v="2025-06-01T00:00:00"/>
    <x v="1"/>
    <n v="4"/>
    <n v="3"/>
    <x v="18"/>
    <n v="7"/>
    <n v="3"/>
    <n v="10"/>
  </r>
  <r>
    <n v="12"/>
    <d v="2025-06-01T00:00:00"/>
    <x v="1"/>
    <n v="5"/>
    <n v="6"/>
    <x v="28"/>
    <n v="6"/>
    <n v="1"/>
    <n v="7"/>
  </r>
  <r>
    <n v="12"/>
    <d v="2025-06-01T00:00:00"/>
    <x v="1"/>
    <n v="6"/>
    <n v="5"/>
    <x v="24"/>
    <n v="5"/>
    <n v="0"/>
    <n v="5"/>
  </r>
  <r>
    <n v="12"/>
    <d v="2025-06-01T00:00:00"/>
    <x v="1"/>
    <n v="7"/>
    <n v="8"/>
    <x v="31"/>
    <n v="4"/>
    <n v="0"/>
    <n v="4"/>
  </r>
  <r>
    <n v="12"/>
    <d v="2025-06-01T00:00:00"/>
    <x v="1"/>
    <n v="8"/>
    <n v="9"/>
    <x v="33"/>
    <n v="3"/>
    <n v="0"/>
    <n v="3"/>
  </r>
  <r>
    <n v="12"/>
    <d v="2025-06-01T00:00:00"/>
    <x v="1"/>
    <n v="9"/>
    <n v="7"/>
    <x v="32"/>
    <n v="2"/>
    <n v="0"/>
    <n v="2"/>
  </r>
  <r>
    <n v="12"/>
    <d v="2025-06-01T00:00:00"/>
    <x v="1"/>
    <n v="10"/>
    <n v="11"/>
    <x v="36"/>
    <n v="1"/>
    <n v="0"/>
    <n v="1"/>
  </r>
  <r>
    <n v="13"/>
    <d v="2025-06-15T00:00:00"/>
    <x v="0"/>
    <n v="1"/>
    <n v="1"/>
    <x v="20"/>
    <n v="10"/>
    <n v="9"/>
    <n v="19"/>
  </r>
  <r>
    <n v="13"/>
    <d v="2025-06-15T00:00:00"/>
    <x v="0"/>
    <n v="2"/>
    <n v="3"/>
    <x v="27"/>
    <n v="9"/>
    <n v="7"/>
    <n v="16"/>
  </r>
  <r>
    <n v="13"/>
    <d v="2025-06-15T00:00:00"/>
    <x v="0"/>
    <n v="3"/>
    <n v="5"/>
    <x v="23"/>
    <n v="8"/>
    <n v="5"/>
    <n v="13"/>
  </r>
  <r>
    <n v="13"/>
    <d v="2025-06-15T00:00:00"/>
    <x v="0"/>
    <n v="4"/>
    <n v="4"/>
    <x v="21"/>
    <n v="7"/>
    <n v="3"/>
    <n v="10"/>
  </r>
  <r>
    <n v="13"/>
    <d v="2025-06-15T00:00:00"/>
    <x v="0"/>
    <n v="5"/>
    <n v="6"/>
    <x v="26"/>
    <n v="6"/>
    <n v="1"/>
    <n v="7"/>
  </r>
  <r>
    <n v="13"/>
    <d v="2025-06-15T00:00:00"/>
    <x v="0"/>
    <n v="6"/>
    <n v="2"/>
    <x v="8"/>
    <n v="5"/>
    <n v="0"/>
    <n v="5"/>
  </r>
  <r>
    <n v="13"/>
    <d v="2025-06-15T00:00:00"/>
    <x v="0"/>
    <n v="7"/>
    <n v="8"/>
    <x v="34"/>
    <n v="4"/>
    <n v="0"/>
    <n v="4"/>
  </r>
  <r>
    <n v="13"/>
    <d v="2025-06-15T00:00:00"/>
    <x v="0"/>
    <n v="8"/>
    <n v="9"/>
    <x v="35"/>
    <n v="3"/>
    <n v="0"/>
    <n v="3"/>
  </r>
  <r>
    <n v="13"/>
    <d v="2025-06-15T00:00:00"/>
    <x v="0"/>
    <n v="9"/>
    <n v="7"/>
    <x v="29"/>
    <n v="2"/>
    <n v="0"/>
    <n v="2"/>
  </r>
  <r>
    <n v="13"/>
    <d v="2025-06-15T00:00:00"/>
    <x v="0"/>
    <n v="10"/>
    <n v="11"/>
    <x v="37"/>
    <n v="1"/>
    <n v="0"/>
    <n v="1"/>
  </r>
  <r>
    <n v="13"/>
    <d v="2025-06-15T00:00:00"/>
    <x v="1"/>
    <n v="1"/>
    <n v="1"/>
    <x v="22"/>
    <n v="10"/>
    <n v="9"/>
    <n v="19"/>
  </r>
  <r>
    <n v="13"/>
    <d v="2025-06-15T00:00:00"/>
    <x v="1"/>
    <n v="2"/>
    <n v="2"/>
    <x v="30"/>
    <n v="9"/>
    <n v="7"/>
    <n v="16"/>
  </r>
  <r>
    <n v="13"/>
    <d v="2025-06-15T00:00:00"/>
    <x v="1"/>
    <n v="3"/>
    <n v="3"/>
    <x v="25"/>
    <n v="8"/>
    <n v="5"/>
    <n v="13"/>
  </r>
  <r>
    <n v="13"/>
    <d v="2025-06-15T00:00:00"/>
    <x v="1"/>
    <n v="4"/>
    <n v="5"/>
    <x v="28"/>
    <n v="7"/>
    <n v="3"/>
    <n v="10"/>
  </r>
  <r>
    <n v="13"/>
    <d v="2025-06-15T00:00:00"/>
    <x v="1"/>
    <n v="5"/>
    <n v="7"/>
    <x v="31"/>
    <n v="6"/>
    <n v="1"/>
    <n v="7"/>
  </r>
  <r>
    <n v="13"/>
    <d v="2025-06-15T00:00:00"/>
    <x v="1"/>
    <n v="6"/>
    <n v="8"/>
    <x v="33"/>
    <n v="5"/>
    <n v="0"/>
    <n v="5"/>
  </r>
  <r>
    <n v="13"/>
    <d v="2025-06-15T00:00:00"/>
    <x v="1"/>
    <n v="7"/>
    <n v="4"/>
    <x v="18"/>
    <n v="4"/>
    <n v="0"/>
    <n v="4"/>
  </r>
  <r>
    <n v="13"/>
    <d v="2025-06-15T00:00:00"/>
    <x v="1"/>
    <n v="8"/>
    <n v="10"/>
    <x v="36"/>
    <n v="3"/>
    <n v="0"/>
    <n v="3"/>
  </r>
  <r>
    <n v="13"/>
    <d v="2025-06-15T00:00:00"/>
    <x v="1"/>
    <n v="9"/>
    <n v="6"/>
    <x v="24"/>
    <n v="2"/>
    <n v="0"/>
    <n v="2"/>
  </r>
  <r>
    <n v="13"/>
    <d v="2025-06-15T00:00:00"/>
    <x v="1"/>
    <n v="10"/>
    <n v="9"/>
    <x v="32"/>
    <n v="1"/>
    <n v="0"/>
    <n v="1"/>
  </r>
  <r>
    <n v="14"/>
    <d v="2025-06-29T00:00:00"/>
    <x v="0"/>
    <n v="1"/>
    <n v="2"/>
    <x v="27"/>
    <n v="10"/>
    <n v="9"/>
    <n v="19"/>
  </r>
  <r>
    <n v="14"/>
    <d v="2025-06-29T00:00:00"/>
    <x v="0"/>
    <n v="2"/>
    <n v="1"/>
    <x v="20"/>
    <n v="9"/>
    <n v="7"/>
    <n v="16"/>
  </r>
  <r>
    <n v="14"/>
    <d v="2025-06-29T00:00:00"/>
    <x v="0"/>
    <n v="3"/>
    <n v="3"/>
    <x v="23"/>
    <n v="8"/>
    <n v="5"/>
    <n v="13"/>
  </r>
  <r>
    <n v="14"/>
    <d v="2025-06-29T00:00:00"/>
    <x v="0"/>
    <n v="4"/>
    <n v="5"/>
    <x v="26"/>
    <n v="7"/>
    <n v="3"/>
    <n v="10"/>
  </r>
  <r>
    <n v="14"/>
    <d v="2025-06-29T00:00:00"/>
    <x v="0"/>
    <n v="5"/>
    <n v="7"/>
    <x v="34"/>
    <n v="6"/>
    <n v="1"/>
    <n v="7"/>
  </r>
  <r>
    <n v="14"/>
    <d v="2025-06-29T00:00:00"/>
    <x v="0"/>
    <n v="6"/>
    <n v="8"/>
    <x v="35"/>
    <n v="5"/>
    <n v="0"/>
    <n v="5"/>
  </r>
  <r>
    <n v="14"/>
    <d v="2025-06-29T00:00:00"/>
    <x v="0"/>
    <n v="7"/>
    <n v="4"/>
    <x v="21"/>
    <n v="4"/>
    <n v="0"/>
    <n v="4"/>
  </r>
  <r>
    <n v="14"/>
    <d v="2025-06-29T00:00:00"/>
    <x v="0"/>
    <n v="8"/>
    <n v="10"/>
    <x v="37"/>
    <n v="3"/>
    <n v="0"/>
    <n v="3"/>
  </r>
  <r>
    <n v="14"/>
    <d v="2025-06-29T00:00:00"/>
    <x v="0"/>
    <n v="9"/>
    <n v="9"/>
    <x v="29"/>
    <n v="2"/>
    <n v="0"/>
    <n v="2"/>
  </r>
  <r>
    <n v="14"/>
    <d v="2025-06-29T00:00:00"/>
    <x v="0"/>
    <n v="10"/>
    <n v="11"/>
    <x v="38"/>
    <n v="1"/>
    <n v="0"/>
    <n v="1"/>
  </r>
  <r>
    <n v="14"/>
    <d v="2025-06-29T00:00:00"/>
    <x v="1"/>
    <n v="1"/>
    <n v="2"/>
    <x v="30"/>
    <n v="10"/>
    <n v="9"/>
    <n v="19"/>
  </r>
  <r>
    <n v="14"/>
    <d v="2025-06-29T00:00:00"/>
    <x v="1"/>
    <n v="2"/>
    <n v="1"/>
    <x v="22"/>
    <n v="9"/>
    <n v="7"/>
    <n v="16"/>
  </r>
  <r>
    <n v="14"/>
    <d v="2025-06-29T00:00:00"/>
    <x v="1"/>
    <n v="3"/>
    <n v="4"/>
    <x v="28"/>
    <n v="8"/>
    <n v="5"/>
    <n v="13"/>
  </r>
  <r>
    <n v="14"/>
    <d v="2025-06-29T00:00:00"/>
    <x v="1"/>
    <n v="4"/>
    <n v="3"/>
    <x v="25"/>
    <n v="7"/>
    <n v="3"/>
    <n v="10"/>
  </r>
  <r>
    <n v="14"/>
    <d v="2025-06-29T00:00:00"/>
    <x v="1"/>
    <n v="5"/>
    <n v="5"/>
    <x v="31"/>
    <n v="6"/>
    <n v="1"/>
    <n v="7"/>
  </r>
  <r>
    <n v="14"/>
    <d v="2025-06-29T00:00:00"/>
    <x v="1"/>
    <n v="6"/>
    <n v="6"/>
    <x v="33"/>
    <n v="5"/>
    <n v="0"/>
    <n v="5"/>
  </r>
  <r>
    <n v="14"/>
    <d v="2025-06-29T00:00:00"/>
    <x v="1"/>
    <n v="7"/>
    <n v="8"/>
    <x v="36"/>
    <n v="4"/>
    <n v="0"/>
    <n v="4"/>
  </r>
  <r>
    <n v="14"/>
    <d v="2025-06-29T00:00:00"/>
    <x v="1"/>
    <n v="8"/>
    <n v="11"/>
    <x v="39"/>
    <n v="3"/>
    <n v="0"/>
    <n v="3"/>
  </r>
  <r>
    <n v="14"/>
    <d v="2025-06-29T00:00:00"/>
    <x v="1"/>
    <n v="9"/>
    <n v="7"/>
    <x v="18"/>
    <n v="2"/>
    <n v="0"/>
    <n v="2"/>
  </r>
  <r>
    <n v="14"/>
    <d v="2025-06-29T00:00:00"/>
    <x v="1"/>
    <n v="10"/>
    <n v="11"/>
    <x v="40"/>
    <n v="1"/>
    <n v="0"/>
    <n v="1"/>
  </r>
  <r>
    <n v="15"/>
    <d v="2025-07-13T00:00:00"/>
    <x v="0"/>
    <n v="1"/>
    <n v="1"/>
    <x v="27"/>
    <n v="10"/>
    <n v="9"/>
    <n v="19"/>
  </r>
  <r>
    <n v="15"/>
    <d v="2025-07-13T00:00:00"/>
    <x v="0"/>
    <n v="2"/>
    <n v="3"/>
    <x v="23"/>
    <n v="9"/>
    <n v="7"/>
    <n v="16"/>
  </r>
  <r>
    <n v="15"/>
    <d v="2025-07-13T00:00:00"/>
    <x v="0"/>
    <n v="3"/>
    <n v="4"/>
    <x v="26"/>
    <n v="8"/>
    <n v="5"/>
    <n v="13"/>
  </r>
  <r>
    <n v="15"/>
    <d v="2025-07-13T00:00:00"/>
    <x v="0"/>
    <n v="4"/>
    <n v="5"/>
    <x v="34"/>
    <n v="7"/>
    <n v="3"/>
    <n v="10"/>
  </r>
  <r>
    <n v="15"/>
    <d v="2025-07-13T00:00:00"/>
    <x v="0"/>
    <n v="5"/>
    <n v="2"/>
    <x v="20"/>
    <n v="6"/>
    <n v="1"/>
    <n v="7"/>
  </r>
  <r>
    <n v="15"/>
    <d v="2025-07-13T00:00:00"/>
    <x v="0"/>
    <n v="6"/>
    <n v="6"/>
    <x v="35"/>
    <n v="5"/>
    <n v="0"/>
    <n v="5"/>
  </r>
  <r>
    <n v="15"/>
    <d v="2025-07-13T00:00:00"/>
    <x v="0"/>
    <n v="7"/>
    <n v="10"/>
    <x v="38"/>
    <n v="4"/>
    <n v="0"/>
    <n v="4"/>
  </r>
  <r>
    <n v="15"/>
    <d v="2025-07-13T00:00:00"/>
    <x v="0"/>
    <n v="8"/>
    <n v="8"/>
    <x v="37"/>
    <n v="3"/>
    <n v="0"/>
    <n v="3"/>
  </r>
  <r>
    <n v="15"/>
    <d v="2025-07-13T00:00:00"/>
    <x v="0"/>
    <n v="9"/>
    <n v="7"/>
    <x v="21"/>
    <n v="2"/>
    <n v="0"/>
    <n v="2"/>
  </r>
  <r>
    <n v="15"/>
    <d v="2025-07-13T00:00:00"/>
    <x v="0"/>
    <n v="10"/>
    <n v="9"/>
    <x v="29"/>
    <n v="1"/>
    <n v="0"/>
    <n v="1"/>
  </r>
  <r>
    <n v="15"/>
    <d v="2025-07-13T00:00:00"/>
    <x v="1"/>
    <n v="1"/>
    <n v="1"/>
    <x v="30"/>
    <n v="10"/>
    <n v="9"/>
    <n v="19"/>
  </r>
  <r>
    <n v="15"/>
    <d v="2025-07-13T00:00:00"/>
    <x v="1"/>
    <n v="2"/>
    <n v="2"/>
    <x v="22"/>
    <n v="9"/>
    <n v="7"/>
    <n v="16"/>
  </r>
  <r>
    <n v="15"/>
    <d v="2025-07-13T00:00:00"/>
    <x v="1"/>
    <n v="3"/>
    <n v="3"/>
    <x v="28"/>
    <n v="8"/>
    <n v="5"/>
    <n v="13"/>
  </r>
  <r>
    <n v="15"/>
    <d v="2025-07-13T00:00:00"/>
    <x v="1"/>
    <n v="4"/>
    <n v="5"/>
    <x v="31"/>
    <n v="7"/>
    <n v="3"/>
    <n v="10"/>
  </r>
  <r>
    <n v="15"/>
    <d v="2025-07-13T00:00:00"/>
    <x v="1"/>
    <n v="5"/>
    <n v="6"/>
    <x v="33"/>
    <n v="6"/>
    <n v="1"/>
    <n v="7"/>
  </r>
  <r>
    <n v="15"/>
    <d v="2025-07-13T00:00:00"/>
    <x v="1"/>
    <n v="6"/>
    <n v="4"/>
    <x v="25"/>
    <n v="5"/>
    <n v="0"/>
    <n v="5"/>
  </r>
  <r>
    <n v="15"/>
    <d v="2025-07-13T00:00:00"/>
    <x v="1"/>
    <n v="7"/>
    <n v="7"/>
    <x v="36"/>
    <n v="4"/>
    <n v="0"/>
    <n v="4"/>
  </r>
  <r>
    <n v="15"/>
    <d v="2025-07-13T00:00:00"/>
    <x v="1"/>
    <n v="8"/>
    <n v="8"/>
    <x v="39"/>
    <n v="3"/>
    <n v="0"/>
    <n v="3"/>
  </r>
  <r>
    <n v="15"/>
    <d v="2025-07-13T00:00:00"/>
    <x v="1"/>
    <n v="9"/>
    <n v="10"/>
    <x v="40"/>
    <n v="2"/>
    <n v="0"/>
    <n v="2"/>
  </r>
  <r>
    <n v="15"/>
    <d v="2025-07-13T00:00:00"/>
    <x v="1"/>
    <n v="10"/>
    <n v="9"/>
    <x v="18"/>
    <n v="1"/>
    <n v="0"/>
    <n v="1"/>
  </r>
  <r>
    <n v="16"/>
    <d v="2025-07-20T00:00:00"/>
    <x v="0"/>
    <n v="1"/>
    <n v="1"/>
    <x v="27"/>
    <n v="10"/>
    <n v="9"/>
    <n v="19"/>
  </r>
  <r>
    <n v="16"/>
    <d v="2025-07-20T00:00:00"/>
    <x v="0"/>
    <n v="2"/>
    <n v="2"/>
    <x v="23"/>
    <n v="9"/>
    <n v="7"/>
    <n v="16"/>
  </r>
  <r>
    <n v="16"/>
    <d v="2025-07-20T00:00:00"/>
    <x v="0"/>
    <n v="3"/>
    <n v="3"/>
    <x v="26"/>
    <n v="8"/>
    <n v="5"/>
    <n v="13"/>
  </r>
  <r>
    <n v="16"/>
    <d v="2025-07-20T00:00:00"/>
    <x v="0"/>
    <n v="4"/>
    <n v="4"/>
    <x v="34"/>
    <n v="7"/>
    <n v="3"/>
    <n v="10"/>
  </r>
  <r>
    <n v="16"/>
    <d v="2025-07-20T00:00:00"/>
    <x v="0"/>
    <n v="5"/>
    <n v="6"/>
    <x v="35"/>
    <n v="6"/>
    <n v="1"/>
    <n v="7"/>
  </r>
  <r>
    <n v="16"/>
    <d v="2025-07-20T00:00:00"/>
    <x v="0"/>
    <n v="6"/>
    <n v="7"/>
    <x v="38"/>
    <n v="5"/>
    <n v="0"/>
    <n v="5"/>
  </r>
  <r>
    <n v="16"/>
    <d v="2025-07-20T00:00:00"/>
    <x v="0"/>
    <n v="7"/>
    <n v="5"/>
    <x v="20"/>
    <n v="4"/>
    <n v="0"/>
    <n v="4"/>
  </r>
  <r>
    <n v="16"/>
    <d v="2025-07-20T00:00:00"/>
    <x v="0"/>
    <n v="8"/>
    <n v="8"/>
    <x v="37"/>
    <n v="3"/>
    <n v="0"/>
    <n v="3"/>
  </r>
  <r>
    <n v="16"/>
    <d v="2025-07-20T00:00:00"/>
    <x v="0"/>
    <n v="9"/>
    <n v="11"/>
    <x v="41"/>
    <n v="2"/>
    <n v="0"/>
    <n v="2"/>
  </r>
  <r>
    <n v="16"/>
    <d v="2025-07-20T00:00:00"/>
    <x v="0"/>
    <n v="10"/>
    <n v="9"/>
    <x v="21"/>
    <n v="1"/>
    <n v="0"/>
    <n v="1"/>
  </r>
  <r>
    <n v="16"/>
    <d v="2025-07-20T00:00:00"/>
    <x v="1"/>
    <n v="1"/>
    <n v="1"/>
    <x v="30"/>
    <n v="10"/>
    <n v="9"/>
    <n v="19"/>
  </r>
  <r>
    <n v="16"/>
    <d v="2025-07-20T00:00:00"/>
    <x v="1"/>
    <n v="2"/>
    <n v="3"/>
    <x v="28"/>
    <n v="9"/>
    <n v="7"/>
    <n v="16"/>
  </r>
  <r>
    <n v="16"/>
    <d v="2025-07-20T00:00:00"/>
    <x v="1"/>
    <n v="3"/>
    <n v="4"/>
    <x v="31"/>
    <n v="8"/>
    <n v="5"/>
    <n v="13"/>
  </r>
  <r>
    <n v="16"/>
    <d v="2025-07-20T00:00:00"/>
    <x v="1"/>
    <n v="4"/>
    <n v="2"/>
    <x v="22"/>
    <n v="7"/>
    <n v="3"/>
    <n v="10"/>
  </r>
  <r>
    <n v="16"/>
    <d v="2025-07-20T00:00:00"/>
    <x v="1"/>
    <n v="5"/>
    <n v="5"/>
    <x v="33"/>
    <n v="6"/>
    <n v="1"/>
    <n v="7"/>
  </r>
  <r>
    <n v="16"/>
    <d v="2025-07-20T00:00:00"/>
    <x v="1"/>
    <n v="6"/>
    <n v="8"/>
    <x v="39"/>
    <n v="5"/>
    <n v="0"/>
    <n v="5"/>
  </r>
  <r>
    <n v="16"/>
    <d v="2025-07-20T00:00:00"/>
    <x v="1"/>
    <n v="7"/>
    <n v="9"/>
    <x v="40"/>
    <n v="4"/>
    <n v="0"/>
    <n v="4"/>
  </r>
  <r>
    <n v="16"/>
    <d v="2025-07-20T00:00:00"/>
    <x v="1"/>
    <n v="8"/>
    <n v="7"/>
    <x v="36"/>
    <n v="3"/>
    <n v="0"/>
    <n v="3"/>
  </r>
  <r>
    <n v="16"/>
    <d v="2025-07-20T00:00:00"/>
    <x v="1"/>
    <n v="9"/>
    <n v="11"/>
    <x v="42"/>
    <n v="2"/>
    <n v="0"/>
    <n v="2"/>
  </r>
  <r>
    <n v="16"/>
    <d v="2025-07-20T00:00:00"/>
    <x v="1"/>
    <n v="10"/>
    <n v="11"/>
    <x v="43"/>
    <n v="1"/>
    <n v="0"/>
    <n v="1"/>
  </r>
  <r>
    <n v="17"/>
    <d v="2025-08-03T00:00:00"/>
    <x v="0"/>
    <n v="1"/>
    <n v="2"/>
    <x v="23"/>
    <n v="10"/>
    <n v="9"/>
    <n v="19"/>
  </r>
  <r>
    <n v="17"/>
    <d v="2025-08-03T00:00:00"/>
    <x v="0"/>
    <n v="2"/>
    <n v="3"/>
    <x v="26"/>
    <n v="9"/>
    <n v="7"/>
    <n v="16"/>
  </r>
  <r>
    <n v="17"/>
    <d v="2025-08-03T00:00:00"/>
    <x v="0"/>
    <n v="3"/>
    <n v="4"/>
    <x v="34"/>
    <n v="8"/>
    <n v="5"/>
    <n v="13"/>
  </r>
  <r>
    <n v="17"/>
    <d v="2025-08-03T00:00:00"/>
    <x v="0"/>
    <n v="4"/>
    <n v="1"/>
    <x v="27"/>
    <n v="7"/>
    <n v="3"/>
    <n v="10"/>
  </r>
  <r>
    <n v="17"/>
    <d v="2025-08-03T00:00:00"/>
    <x v="0"/>
    <n v="5"/>
    <n v="5"/>
    <x v="35"/>
    <n v="6"/>
    <n v="1"/>
    <n v="7"/>
  </r>
  <r>
    <n v="17"/>
    <d v="2025-08-03T00:00:00"/>
    <x v="0"/>
    <n v="6"/>
    <n v="6"/>
    <x v="38"/>
    <n v="5"/>
    <n v="0"/>
    <n v="5"/>
  </r>
  <r>
    <n v="17"/>
    <d v="2025-08-03T00:00:00"/>
    <x v="0"/>
    <n v="7"/>
    <n v="8"/>
    <x v="37"/>
    <n v="4"/>
    <n v="0"/>
    <n v="4"/>
  </r>
  <r>
    <n v="17"/>
    <d v="2025-08-03T00:00:00"/>
    <x v="0"/>
    <n v="8"/>
    <n v="9"/>
    <x v="41"/>
    <n v="3"/>
    <n v="0"/>
    <n v="3"/>
  </r>
  <r>
    <n v="17"/>
    <d v="2025-08-03T00:00:00"/>
    <x v="0"/>
    <n v="9"/>
    <n v="7"/>
    <x v="20"/>
    <n v="2"/>
    <n v="0"/>
    <n v="2"/>
  </r>
  <r>
    <n v="17"/>
    <d v="2025-08-03T00:00:00"/>
    <x v="0"/>
    <n v="10"/>
    <n v="11"/>
    <x v="44"/>
    <n v="1"/>
    <n v="0"/>
    <n v="1"/>
  </r>
  <r>
    <n v="17"/>
    <d v="2025-08-03T00:00:00"/>
    <x v="1"/>
    <n v="1"/>
    <n v="3"/>
    <x v="31"/>
    <n v="10"/>
    <n v="9"/>
    <n v="19"/>
  </r>
  <r>
    <n v="17"/>
    <d v="2025-08-03T00:00:00"/>
    <x v="1"/>
    <n v="2"/>
    <n v="2"/>
    <x v="28"/>
    <n v="9"/>
    <n v="7"/>
    <n v="16"/>
  </r>
  <r>
    <n v="17"/>
    <d v="2025-08-03T00:00:00"/>
    <x v="1"/>
    <n v="3"/>
    <n v="6"/>
    <x v="39"/>
    <n v="8"/>
    <n v="5"/>
    <n v="13"/>
  </r>
  <r>
    <n v="17"/>
    <d v="2025-08-03T00:00:00"/>
    <x v="1"/>
    <n v="4"/>
    <n v="7"/>
    <x v="40"/>
    <n v="7"/>
    <n v="3"/>
    <n v="10"/>
  </r>
  <r>
    <n v="17"/>
    <d v="2025-08-03T00:00:00"/>
    <x v="1"/>
    <n v="5"/>
    <n v="1"/>
    <x v="30"/>
    <n v="6"/>
    <n v="1"/>
    <n v="7"/>
  </r>
  <r>
    <n v="17"/>
    <d v="2025-08-03T00:00:00"/>
    <x v="1"/>
    <n v="6"/>
    <n v="9"/>
    <x v="42"/>
    <n v="5"/>
    <n v="0"/>
    <n v="5"/>
  </r>
  <r>
    <n v="17"/>
    <d v="2025-08-03T00:00:00"/>
    <x v="1"/>
    <n v="7"/>
    <n v="5"/>
    <x v="33"/>
    <n v="4"/>
    <n v="0"/>
    <n v="4"/>
  </r>
  <r>
    <n v="17"/>
    <d v="2025-08-03T00:00:00"/>
    <x v="1"/>
    <n v="8"/>
    <n v="4"/>
    <x v="22"/>
    <n v="3"/>
    <n v="0"/>
    <n v="3"/>
  </r>
  <r>
    <n v="17"/>
    <d v="2025-08-03T00:00:00"/>
    <x v="1"/>
    <n v="9"/>
    <n v="10"/>
    <x v="43"/>
    <n v="2"/>
    <n v="0"/>
    <n v="2"/>
  </r>
  <r>
    <n v="17"/>
    <d v="2025-08-03T00:00:00"/>
    <x v="1"/>
    <n v="10"/>
    <n v="8"/>
    <x v="36"/>
    <n v="1"/>
    <n v="0"/>
    <n v="1"/>
  </r>
  <r>
    <n v="18"/>
    <d v="2025-08-10T00:00:00"/>
    <x v="0"/>
    <n v="1"/>
    <n v="1"/>
    <x v="23"/>
    <n v="10"/>
    <n v="9"/>
    <n v="19"/>
  </r>
  <r>
    <n v="18"/>
    <d v="2025-08-10T00:00:00"/>
    <x v="0"/>
    <n v="2"/>
    <n v="3"/>
    <x v="34"/>
    <n v="9"/>
    <n v="7"/>
    <n v="16"/>
  </r>
  <r>
    <n v="18"/>
    <d v="2025-08-10T00:00:00"/>
    <x v="0"/>
    <n v="3"/>
    <n v="2"/>
    <x v="26"/>
    <n v="8"/>
    <n v="5"/>
    <n v="13"/>
  </r>
  <r>
    <n v="18"/>
    <d v="2025-08-10T00:00:00"/>
    <x v="0"/>
    <n v="4"/>
    <n v="5"/>
    <x v="35"/>
    <n v="7"/>
    <n v="3"/>
    <n v="10"/>
  </r>
  <r>
    <n v="18"/>
    <d v="2025-08-10T00:00:00"/>
    <x v="0"/>
    <n v="5"/>
    <n v="6"/>
    <x v="38"/>
    <n v="6"/>
    <n v="1"/>
    <n v="7"/>
  </r>
  <r>
    <n v="18"/>
    <d v="2025-08-10T00:00:00"/>
    <x v="0"/>
    <n v="6"/>
    <n v="4"/>
    <x v="27"/>
    <n v="5"/>
    <n v="0"/>
    <n v="5"/>
  </r>
  <r>
    <n v="18"/>
    <d v="2025-08-10T00:00:00"/>
    <x v="0"/>
    <n v="7"/>
    <n v="7"/>
    <x v="37"/>
    <n v="4"/>
    <n v="0"/>
    <n v="4"/>
  </r>
  <r>
    <n v="18"/>
    <d v="2025-08-10T00:00:00"/>
    <x v="0"/>
    <n v="8"/>
    <n v="8"/>
    <x v="41"/>
    <n v="3"/>
    <n v="0"/>
    <n v="3"/>
  </r>
  <r>
    <n v="18"/>
    <d v="2025-08-10T00:00:00"/>
    <x v="0"/>
    <n v="9"/>
    <n v="10"/>
    <x v="44"/>
    <n v="2"/>
    <n v="0"/>
    <n v="2"/>
  </r>
  <r>
    <n v="18"/>
    <d v="2025-08-10T00:00:00"/>
    <x v="0"/>
    <n v="10"/>
    <n v="9"/>
    <x v="20"/>
    <n v="1"/>
    <n v="0"/>
    <n v="1"/>
  </r>
  <r>
    <n v="18"/>
    <d v="2025-08-10T00:00:00"/>
    <x v="1"/>
    <n v="1"/>
    <n v="1"/>
    <x v="31"/>
    <n v="10"/>
    <n v="9"/>
    <n v="19"/>
  </r>
  <r>
    <n v="18"/>
    <d v="2025-08-10T00:00:00"/>
    <x v="1"/>
    <n v="2"/>
    <n v="3"/>
    <x v="39"/>
    <n v="9"/>
    <n v="7"/>
    <n v="16"/>
  </r>
  <r>
    <n v="18"/>
    <d v="2025-08-10T00:00:00"/>
    <x v="1"/>
    <n v="3"/>
    <n v="4"/>
    <x v="40"/>
    <n v="8"/>
    <n v="5"/>
    <n v="13"/>
  </r>
  <r>
    <n v="18"/>
    <d v="2025-08-10T00:00:00"/>
    <x v="1"/>
    <n v="4"/>
    <n v="2"/>
    <x v="28"/>
    <n v="7"/>
    <n v="3"/>
    <n v="10"/>
  </r>
  <r>
    <n v="18"/>
    <d v="2025-08-10T00:00:00"/>
    <x v="1"/>
    <n v="5"/>
    <n v="6"/>
    <x v="42"/>
    <n v="6"/>
    <n v="1"/>
    <n v="7"/>
  </r>
  <r>
    <n v="18"/>
    <d v="2025-08-10T00:00:00"/>
    <x v="1"/>
    <n v="6"/>
    <n v="5"/>
    <x v="30"/>
    <n v="5"/>
    <n v="0"/>
    <n v="5"/>
  </r>
  <r>
    <n v="18"/>
    <d v="2025-08-10T00:00:00"/>
    <x v="1"/>
    <n v="7"/>
    <n v="7"/>
    <x v="33"/>
    <n v="4"/>
    <n v="0"/>
    <n v="4"/>
  </r>
  <r>
    <n v="18"/>
    <d v="2025-08-10T00:00:00"/>
    <x v="1"/>
    <n v="8"/>
    <n v="9"/>
    <x v="43"/>
    <n v="3"/>
    <n v="0"/>
    <n v="3"/>
  </r>
  <r>
    <n v="18"/>
    <d v="2025-08-10T00:00:00"/>
    <x v="1"/>
    <n v="9"/>
    <n v="11"/>
    <x v="45"/>
    <n v="2"/>
    <n v="0"/>
    <n v="2"/>
  </r>
  <r>
    <n v="18"/>
    <d v="2025-08-10T00:00:00"/>
    <x v="1"/>
    <n v="10"/>
    <n v="11"/>
    <x v="46"/>
    <n v="1"/>
    <n v="0"/>
    <n v="1"/>
  </r>
  <r>
    <n v="19"/>
    <d v="2025-08-24T00:00:00"/>
    <x v="0"/>
    <n v="1"/>
    <n v="1"/>
    <x v="23"/>
    <n v="10"/>
    <n v="9"/>
    <n v="19"/>
  </r>
  <r>
    <n v="19"/>
    <d v="2025-08-24T00:00:00"/>
    <x v="0"/>
    <n v="2"/>
    <n v="2"/>
    <x v="34"/>
    <n v="9"/>
    <n v="7"/>
    <n v="16"/>
  </r>
  <r>
    <n v="19"/>
    <d v="2025-08-24T00:00:00"/>
    <x v="0"/>
    <n v="3"/>
    <n v="4"/>
    <x v="35"/>
    <n v="8"/>
    <n v="5"/>
    <n v="13"/>
  </r>
  <r>
    <n v="19"/>
    <d v="2025-08-24T00:00:00"/>
    <x v="0"/>
    <n v="4"/>
    <n v="5"/>
    <x v="38"/>
    <n v="7"/>
    <n v="3"/>
    <n v="10"/>
  </r>
  <r>
    <n v="19"/>
    <d v="2025-08-24T00:00:00"/>
    <x v="0"/>
    <n v="5"/>
    <n v="3"/>
    <x v="26"/>
    <n v="6"/>
    <n v="1"/>
    <n v="7"/>
  </r>
  <r>
    <n v="19"/>
    <d v="2025-08-24T00:00:00"/>
    <x v="0"/>
    <n v="6"/>
    <n v="7"/>
    <x v="37"/>
    <n v="5"/>
    <n v="0"/>
    <n v="5"/>
  </r>
  <r>
    <n v="19"/>
    <d v="2025-08-24T00:00:00"/>
    <x v="0"/>
    <n v="7"/>
    <n v="8"/>
    <x v="41"/>
    <n v="4"/>
    <n v="0"/>
    <n v="4"/>
  </r>
  <r>
    <n v="19"/>
    <d v="2025-08-24T00:00:00"/>
    <x v="0"/>
    <n v="8"/>
    <n v="6"/>
    <x v="27"/>
    <n v="3"/>
    <n v="0"/>
    <n v="3"/>
  </r>
  <r>
    <n v="19"/>
    <d v="2025-08-24T00:00:00"/>
    <x v="0"/>
    <n v="9"/>
    <n v="9"/>
    <x v="44"/>
    <n v="2"/>
    <n v="0"/>
    <n v="2"/>
  </r>
  <r>
    <n v="19"/>
    <d v="2025-08-24T00:00:00"/>
    <x v="0"/>
    <n v="10"/>
    <n v="10"/>
    <x v="20"/>
    <n v="1"/>
    <n v="0"/>
    <n v="1"/>
  </r>
  <r>
    <n v="19"/>
    <d v="2025-08-24T00:00:00"/>
    <x v="1"/>
    <n v="1"/>
    <n v="1"/>
    <x v="31"/>
    <n v="10"/>
    <n v="9"/>
    <n v="19"/>
  </r>
  <r>
    <n v="19"/>
    <d v="2025-08-24T00:00:00"/>
    <x v="1"/>
    <n v="2"/>
    <n v="3"/>
    <x v="40"/>
    <n v="9"/>
    <n v="7"/>
    <n v="16"/>
  </r>
  <r>
    <n v="19"/>
    <d v="2025-08-24T00:00:00"/>
    <x v="1"/>
    <n v="3"/>
    <n v="2"/>
    <x v="39"/>
    <n v="8"/>
    <n v="5"/>
    <n v="13"/>
  </r>
  <r>
    <n v="19"/>
    <d v="2025-08-24T00:00:00"/>
    <x v="1"/>
    <n v="4"/>
    <n v="5"/>
    <x v="42"/>
    <n v="7"/>
    <n v="3"/>
    <n v="10"/>
  </r>
  <r>
    <n v="19"/>
    <d v="2025-08-24T00:00:00"/>
    <x v="1"/>
    <n v="5"/>
    <n v="4"/>
    <x v="28"/>
    <n v="6"/>
    <n v="1"/>
    <n v="7"/>
  </r>
  <r>
    <n v="19"/>
    <d v="2025-08-24T00:00:00"/>
    <x v="1"/>
    <n v="6"/>
    <n v="8"/>
    <x v="43"/>
    <n v="5"/>
    <n v="0"/>
    <n v="5"/>
  </r>
  <r>
    <n v="19"/>
    <d v="2025-08-24T00:00:00"/>
    <x v="1"/>
    <n v="7"/>
    <n v="9"/>
    <x v="45"/>
    <n v="4"/>
    <n v="0"/>
    <n v="4"/>
  </r>
  <r>
    <n v="19"/>
    <d v="2025-08-24T00:00:00"/>
    <x v="1"/>
    <n v="8"/>
    <n v="10"/>
    <x v="46"/>
    <n v="3"/>
    <n v="0"/>
    <n v="3"/>
  </r>
  <r>
    <n v="19"/>
    <d v="2025-08-24T00:00:00"/>
    <x v="1"/>
    <n v="9"/>
    <n v="6"/>
    <x v="30"/>
    <n v="2"/>
    <n v="0"/>
    <n v="2"/>
  </r>
  <r>
    <n v="19"/>
    <d v="2025-08-24T00:00:00"/>
    <x v="1"/>
    <n v="10"/>
    <n v="7"/>
    <x v="33"/>
    <n v="1"/>
    <n v="0"/>
    <n v="1"/>
  </r>
  <r>
    <n v="20"/>
    <d v="2025-09-07T00:00:00"/>
    <x v="0"/>
    <n v="1"/>
    <n v="2"/>
    <x v="34"/>
    <n v="10"/>
    <n v="9"/>
    <n v="19"/>
  </r>
  <r>
    <n v="20"/>
    <d v="2025-09-07T00:00:00"/>
    <x v="0"/>
    <n v="2"/>
    <n v="1"/>
    <x v="23"/>
    <n v="9"/>
    <n v="7"/>
    <n v="16"/>
  </r>
  <r>
    <n v="20"/>
    <d v="2025-09-07T00:00:00"/>
    <x v="0"/>
    <n v="3"/>
    <n v="3"/>
    <x v="35"/>
    <n v="8"/>
    <n v="5"/>
    <n v="13"/>
  </r>
  <r>
    <n v="20"/>
    <d v="2025-09-07T00:00:00"/>
    <x v="0"/>
    <n v="4"/>
    <n v="4"/>
    <x v="38"/>
    <n v="7"/>
    <n v="3"/>
    <n v="10"/>
  </r>
  <r>
    <n v="20"/>
    <d v="2025-09-07T00:00:00"/>
    <x v="0"/>
    <n v="5"/>
    <n v="6"/>
    <x v="37"/>
    <n v="6"/>
    <n v="1"/>
    <n v="7"/>
  </r>
  <r>
    <n v="20"/>
    <d v="2025-09-07T00:00:00"/>
    <x v="0"/>
    <n v="6"/>
    <n v="7"/>
    <x v="41"/>
    <n v="5"/>
    <n v="0"/>
    <n v="5"/>
  </r>
  <r>
    <n v="20"/>
    <d v="2025-09-07T00:00:00"/>
    <x v="0"/>
    <n v="7"/>
    <n v="5"/>
    <x v="26"/>
    <n v="4"/>
    <n v="0"/>
    <n v="4"/>
  </r>
  <r>
    <n v="20"/>
    <d v="2025-09-07T00:00:00"/>
    <x v="0"/>
    <n v="8"/>
    <n v="9"/>
    <x v="44"/>
    <n v="3"/>
    <n v="0"/>
    <n v="3"/>
  </r>
  <r>
    <n v="20"/>
    <d v="2025-09-07T00:00:00"/>
    <x v="0"/>
    <n v="9"/>
    <n v="8"/>
    <x v="27"/>
    <n v="2"/>
    <n v="0"/>
    <n v="2"/>
  </r>
  <r>
    <n v="20"/>
    <d v="2025-09-07T00:00:00"/>
    <x v="0"/>
    <n v="10"/>
    <n v="11"/>
    <x v="47"/>
    <n v="1"/>
    <n v="0"/>
    <n v="1"/>
  </r>
  <r>
    <n v="20"/>
    <d v="2025-09-07T00:00:00"/>
    <x v="1"/>
    <n v="1"/>
    <n v="1"/>
    <x v="31"/>
    <n v="10"/>
    <n v="9"/>
    <n v="19"/>
  </r>
  <r>
    <n v="20"/>
    <d v="2025-09-07T00:00:00"/>
    <x v="1"/>
    <n v="2"/>
    <n v="2"/>
    <x v="40"/>
    <n v="9"/>
    <n v="7"/>
    <n v="16"/>
  </r>
  <r>
    <n v="20"/>
    <d v="2025-09-07T00:00:00"/>
    <x v="1"/>
    <n v="3"/>
    <n v="4"/>
    <x v="42"/>
    <n v="8"/>
    <n v="5"/>
    <n v="13"/>
  </r>
  <r>
    <n v="20"/>
    <d v="2025-09-07T00:00:00"/>
    <x v="1"/>
    <n v="4"/>
    <n v="3"/>
    <x v="39"/>
    <n v="7"/>
    <n v="3"/>
    <n v="10"/>
  </r>
  <r>
    <n v="20"/>
    <d v="2025-09-07T00:00:00"/>
    <x v="1"/>
    <n v="5"/>
    <n v="7"/>
    <x v="45"/>
    <n v="6"/>
    <n v="1"/>
    <n v="7"/>
  </r>
  <r>
    <n v="20"/>
    <d v="2025-09-07T00:00:00"/>
    <x v="1"/>
    <n v="6"/>
    <n v="8"/>
    <x v="46"/>
    <n v="5"/>
    <n v="0"/>
    <n v="5"/>
  </r>
  <r>
    <n v="20"/>
    <d v="2025-09-07T00:00:00"/>
    <x v="1"/>
    <n v="7"/>
    <n v="6"/>
    <x v="43"/>
    <n v="4"/>
    <n v="0"/>
    <n v="4"/>
  </r>
  <r>
    <n v="20"/>
    <d v="2025-09-07T00:00:00"/>
    <x v="1"/>
    <n v="8"/>
    <n v="5"/>
    <x v="28"/>
    <n v="3"/>
    <n v="0"/>
    <n v="3"/>
  </r>
  <r>
    <n v="20"/>
    <d v="2025-09-07T00:00:00"/>
    <x v="1"/>
    <n v="9"/>
    <n v="11"/>
    <x v="48"/>
    <n v="2"/>
    <n v="0"/>
    <n v="2"/>
  </r>
  <r>
    <n v="20"/>
    <d v="2025-09-07T00:00:00"/>
    <x v="1"/>
    <n v="10"/>
    <n v="11"/>
    <x v="49"/>
    <n v="1"/>
    <n v="0"/>
    <n v="1"/>
  </r>
  <r>
    <n v="21"/>
    <d v="2025-09-21T00:00:00"/>
    <x v="0"/>
    <n v="1"/>
    <n v="1"/>
    <x v="34"/>
    <n v="10"/>
    <n v="9"/>
    <n v="19"/>
  </r>
  <r>
    <n v="21"/>
    <d v="2025-09-21T00:00:00"/>
    <x v="0"/>
    <n v="2"/>
    <n v="3"/>
    <x v="35"/>
    <n v="9"/>
    <n v="7"/>
    <n v="16"/>
  </r>
  <r>
    <n v="21"/>
    <d v="2025-09-21T00:00:00"/>
    <x v="0"/>
    <n v="3"/>
    <n v="4"/>
    <x v="38"/>
    <n v="8"/>
    <n v="5"/>
    <n v="13"/>
  </r>
  <r>
    <n v="21"/>
    <d v="2025-09-21T00:00:00"/>
    <x v="0"/>
    <n v="4"/>
    <n v="2"/>
    <x v="23"/>
    <n v="7"/>
    <n v="3"/>
    <n v="10"/>
  </r>
  <r>
    <n v="21"/>
    <d v="2025-09-21T00:00:00"/>
    <x v="0"/>
    <n v="5"/>
    <n v="5"/>
    <x v="37"/>
    <n v="6"/>
    <n v="1"/>
    <n v="7"/>
  </r>
  <r>
    <n v="21"/>
    <d v="2025-09-21T00:00:00"/>
    <x v="0"/>
    <n v="6"/>
    <n v="6"/>
    <x v="41"/>
    <n v="5"/>
    <n v="0"/>
    <n v="5"/>
  </r>
  <r>
    <n v="21"/>
    <d v="2025-09-21T00:00:00"/>
    <x v="0"/>
    <n v="7"/>
    <n v="8"/>
    <x v="44"/>
    <n v="4"/>
    <n v="0"/>
    <n v="4"/>
  </r>
  <r>
    <n v="21"/>
    <d v="2025-09-21T00:00:00"/>
    <x v="0"/>
    <n v="8"/>
    <n v="7"/>
    <x v="26"/>
    <n v="3"/>
    <n v="0"/>
    <n v="3"/>
  </r>
  <r>
    <n v="21"/>
    <d v="2025-09-21T00:00:00"/>
    <x v="0"/>
    <n v="9"/>
    <n v="10"/>
    <x v="47"/>
    <n v="2"/>
    <n v="0"/>
    <n v="2"/>
  </r>
  <r>
    <n v="21"/>
    <d v="2025-09-21T00:00:00"/>
    <x v="0"/>
    <n v="10"/>
    <n v="9"/>
    <x v="27"/>
    <n v="1"/>
    <n v="0"/>
    <n v="1"/>
  </r>
  <r>
    <n v="21"/>
    <d v="2025-09-21T00:00:00"/>
    <x v="1"/>
    <n v="1"/>
    <n v="1"/>
    <x v="31"/>
    <n v="10"/>
    <n v="9"/>
    <n v="19"/>
  </r>
  <r>
    <n v="21"/>
    <d v="2025-09-21T00:00:00"/>
    <x v="1"/>
    <n v="2"/>
    <n v="2"/>
    <x v="40"/>
    <n v="9"/>
    <n v="7"/>
    <n v="16"/>
  </r>
  <r>
    <n v="21"/>
    <d v="2025-09-21T00:00:00"/>
    <x v="1"/>
    <n v="3"/>
    <n v="3"/>
    <x v="42"/>
    <n v="8"/>
    <n v="5"/>
    <n v="13"/>
  </r>
  <r>
    <n v="21"/>
    <d v="2025-09-21T00:00:00"/>
    <x v="1"/>
    <n v="4"/>
    <n v="5"/>
    <x v="45"/>
    <n v="7"/>
    <n v="3"/>
    <n v="10"/>
  </r>
  <r>
    <n v="21"/>
    <d v="2025-09-21T00:00:00"/>
    <x v="1"/>
    <n v="5"/>
    <n v="4"/>
    <x v="39"/>
    <n v="6"/>
    <n v="1"/>
    <n v="7"/>
  </r>
  <r>
    <n v="21"/>
    <d v="2025-09-21T00:00:00"/>
    <x v="1"/>
    <n v="6"/>
    <n v="6"/>
    <x v="46"/>
    <n v="5"/>
    <n v="0"/>
    <n v="5"/>
  </r>
  <r>
    <n v="21"/>
    <d v="2025-09-21T00:00:00"/>
    <x v="1"/>
    <n v="7"/>
    <n v="7"/>
    <x v="43"/>
    <n v="4"/>
    <n v="0"/>
    <n v="4"/>
  </r>
  <r>
    <n v="21"/>
    <d v="2025-09-21T00:00:00"/>
    <x v="1"/>
    <n v="8"/>
    <n v="9"/>
    <x v="48"/>
    <n v="3"/>
    <n v="0"/>
    <n v="3"/>
  </r>
  <r>
    <n v="21"/>
    <d v="2025-09-21T00:00:00"/>
    <x v="1"/>
    <n v="9"/>
    <n v="10"/>
    <x v="49"/>
    <n v="2"/>
    <n v="0"/>
    <n v="2"/>
  </r>
  <r>
    <n v="21"/>
    <d v="2025-09-21T00:00:00"/>
    <x v="1"/>
    <n v="10"/>
    <n v="8"/>
    <x v="28"/>
    <n v="1"/>
    <n v="0"/>
    <n v="1"/>
  </r>
  <r>
    <n v="22"/>
    <d v="2025-09-28T00:00:00"/>
    <x v="0"/>
    <n v="1"/>
    <n v="1"/>
    <x v="34"/>
    <n v="10"/>
    <n v="9"/>
    <n v="19"/>
  </r>
  <r>
    <n v="22"/>
    <d v="2025-09-28T00:00:00"/>
    <x v="0"/>
    <n v="2"/>
    <n v="3"/>
    <x v="38"/>
    <n v="9"/>
    <n v="7"/>
    <n v="16"/>
  </r>
  <r>
    <n v="22"/>
    <d v="2025-09-28T00:00:00"/>
    <x v="0"/>
    <n v="3"/>
    <n v="2"/>
    <x v="35"/>
    <n v="8"/>
    <n v="5"/>
    <n v="13"/>
  </r>
  <r>
    <n v="22"/>
    <d v="2025-09-28T00:00:00"/>
    <x v="0"/>
    <n v="4"/>
    <n v="6"/>
    <x v="41"/>
    <n v="7"/>
    <n v="3"/>
    <n v="10"/>
  </r>
  <r>
    <n v="22"/>
    <d v="2025-09-28T00:00:00"/>
    <x v="0"/>
    <n v="5"/>
    <n v="5"/>
    <x v="37"/>
    <n v="6"/>
    <n v="1"/>
    <n v="7"/>
  </r>
  <r>
    <n v="22"/>
    <d v="2025-09-28T00:00:00"/>
    <x v="0"/>
    <n v="6"/>
    <n v="4"/>
    <x v="23"/>
    <n v="5"/>
    <n v="0"/>
    <n v="5"/>
  </r>
  <r>
    <n v="22"/>
    <d v="2025-09-28T00:00:00"/>
    <x v="0"/>
    <n v="7"/>
    <n v="7"/>
    <x v="44"/>
    <n v="4"/>
    <n v="0"/>
    <n v="4"/>
  </r>
  <r>
    <n v="22"/>
    <d v="2025-09-28T00:00:00"/>
    <x v="0"/>
    <n v="8"/>
    <n v="9"/>
    <x v="47"/>
    <n v="3"/>
    <n v="0"/>
    <n v="3"/>
  </r>
  <r>
    <n v="22"/>
    <d v="2025-09-28T00:00:00"/>
    <x v="0"/>
    <n v="9"/>
    <n v="8"/>
    <x v="26"/>
    <n v="2"/>
    <n v="0"/>
    <n v="2"/>
  </r>
  <r>
    <n v="22"/>
    <d v="2025-09-28T00:00:00"/>
    <x v="0"/>
    <n v="10"/>
    <n v="11"/>
    <x v="50"/>
    <n v="1"/>
    <n v="0"/>
    <n v="1"/>
  </r>
  <r>
    <n v="22"/>
    <d v="2025-09-28T00:00:00"/>
    <x v="1"/>
    <n v="1"/>
    <n v="2"/>
    <x v="40"/>
    <n v="10"/>
    <n v="9"/>
    <n v="19"/>
  </r>
  <r>
    <n v="22"/>
    <d v="2025-09-28T00:00:00"/>
    <x v="1"/>
    <n v="2"/>
    <n v="3"/>
    <x v="42"/>
    <n v="9"/>
    <n v="7"/>
    <n v="16"/>
  </r>
  <r>
    <n v="22"/>
    <d v="2025-09-28T00:00:00"/>
    <x v="1"/>
    <n v="3"/>
    <n v="1"/>
    <x v="31"/>
    <n v="8"/>
    <n v="5"/>
    <n v="13"/>
  </r>
  <r>
    <n v="22"/>
    <d v="2025-09-28T00:00:00"/>
    <x v="1"/>
    <n v="4"/>
    <n v="4"/>
    <x v="45"/>
    <n v="7"/>
    <n v="3"/>
    <n v="10"/>
  </r>
  <r>
    <n v="22"/>
    <d v="2025-09-28T00:00:00"/>
    <x v="1"/>
    <n v="5"/>
    <n v="5"/>
    <x v="39"/>
    <n v="6"/>
    <n v="1"/>
    <n v="7"/>
  </r>
  <r>
    <n v="22"/>
    <d v="2025-09-28T00:00:00"/>
    <x v="1"/>
    <n v="6"/>
    <n v="9"/>
    <x v="49"/>
    <n v="5"/>
    <n v="0"/>
    <n v="5"/>
  </r>
  <r>
    <n v="22"/>
    <d v="2025-09-28T00:00:00"/>
    <x v="1"/>
    <n v="7"/>
    <n v="8"/>
    <x v="48"/>
    <n v="4"/>
    <n v="0"/>
    <n v="4"/>
  </r>
  <r>
    <n v="22"/>
    <d v="2025-09-28T00:00:00"/>
    <x v="1"/>
    <n v="8"/>
    <n v="7"/>
    <x v="43"/>
    <n v="3"/>
    <n v="0"/>
    <n v="3"/>
  </r>
  <r>
    <n v="22"/>
    <d v="2025-09-28T00:00:00"/>
    <x v="1"/>
    <n v="9"/>
    <n v="11"/>
    <x v="51"/>
    <n v="2"/>
    <n v="0"/>
    <n v="2"/>
  </r>
  <r>
    <n v="22"/>
    <d v="2025-09-28T00:00:00"/>
    <x v="1"/>
    <n v="10"/>
    <n v="6"/>
    <x v="46"/>
    <n v="1"/>
    <n v="0"/>
    <n v="1"/>
  </r>
  <r>
    <n v="23"/>
    <d v="2025-10-05T00:00:00"/>
    <x v="0"/>
    <n v="1"/>
    <n v="2"/>
    <x v="38"/>
    <n v="10"/>
    <n v="9"/>
    <n v="19"/>
  </r>
  <r>
    <n v="23"/>
    <d v="2025-10-05T00:00:00"/>
    <x v="0"/>
    <n v="2"/>
    <n v="1"/>
    <x v="34"/>
    <n v="9"/>
    <n v="7"/>
    <n v="16"/>
  </r>
  <r>
    <n v="23"/>
    <d v="2025-10-05T00:00:00"/>
    <x v="0"/>
    <n v="3"/>
    <n v="4"/>
    <x v="41"/>
    <n v="8"/>
    <n v="5"/>
    <n v="13"/>
  </r>
  <r>
    <n v="23"/>
    <d v="2025-10-05T00:00:00"/>
    <x v="0"/>
    <n v="4"/>
    <n v="3"/>
    <x v="35"/>
    <n v="7"/>
    <n v="3"/>
    <n v="10"/>
  </r>
  <r>
    <n v="23"/>
    <d v="2025-10-05T00:00:00"/>
    <x v="0"/>
    <n v="5"/>
    <n v="5"/>
    <x v="37"/>
    <n v="6"/>
    <n v="1"/>
    <n v="7"/>
  </r>
  <r>
    <n v="23"/>
    <d v="2025-10-05T00:00:00"/>
    <x v="0"/>
    <n v="6"/>
    <n v="7"/>
    <x v="44"/>
    <n v="5"/>
    <n v="0"/>
    <n v="5"/>
  </r>
  <r>
    <n v="23"/>
    <d v="2025-10-05T00:00:00"/>
    <x v="0"/>
    <n v="7"/>
    <n v="6"/>
    <x v="23"/>
    <n v="4"/>
    <n v="0"/>
    <n v="4"/>
  </r>
  <r>
    <n v="23"/>
    <d v="2025-10-05T00:00:00"/>
    <x v="0"/>
    <n v="8"/>
    <n v="8"/>
    <x v="47"/>
    <n v="3"/>
    <n v="0"/>
    <n v="3"/>
  </r>
  <r>
    <n v="23"/>
    <d v="2025-10-05T00:00:00"/>
    <x v="0"/>
    <n v="9"/>
    <n v="10"/>
    <x v="50"/>
    <n v="2"/>
    <n v="0"/>
    <n v="2"/>
  </r>
  <r>
    <n v="23"/>
    <d v="2025-10-05T00:00:00"/>
    <x v="0"/>
    <n v="10"/>
    <n v="9"/>
    <x v="26"/>
    <n v="1"/>
    <n v="0"/>
    <n v="1"/>
  </r>
  <r>
    <n v="23"/>
    <d v="2025-10-05T00:00:00"/>
    <x v="1"/>
    <n v="1"/>
    <n v="1"/>
    <x v="40"/>
    <n v="10"/>
    <n v="9"/>
    <n v="19"/>
  </r>
  <r>
    <n v="23"/>
    <d v="2025-10-05T00:00:00"/>
    <x v="1"/>
    <n v="2"/>
    <n v="2"/>
    <x v="42"/>
    <n v="9"/>
    <n v="7"/>
    <n v="16"/>
  </r>
  <r>
    <n v="23"/>
    <d v="2025-10-05T00:00:00"/>
    <x v="1"/>
    <n v="3"/>
    <n v="4"/>
    <x v="45"/>
    <n v="8"/>
    <n v="5"/>
    <n v="13"/>
  </r>
  <r>
    <n v="23"/>
    <d v="2025-10-05T00:00:00"/>
    <x v="1"/>
    <n v="4"/>
    <n v="3"/>
    <x v="31"/>
    <n v="7"/>
    <n v="3"/>
    <n v="10"/>
  </r>
  <r>
    <n v="23"/>
    <d v="2025-10-05T00:00:00"/>
    <x v="1"/>
    <n v="5"/>
    <n v="6"/>
    <x v="49"/>
    <n v="6"/>
    <n v="1"/>
    <n v="7"/>
  </r>
  <r>
    <n v="23"/>
    <d v="2025-10-05T00:00:00"/>
    <x v="1"/>
    <n v="6"/>
    <n v="7"/>
    <x v="48"/>
    <n v="5"/>
    <n v="0"/>
    <n v="5"/>
  </r>
  <r>
    <n v="23"/>
    <d v="2025-10-05T00:00:00"/>
    <x v="1"/>
    <n v="7"/>
    <n v="5"/>
    <x v="39"/>
    <n v="4"/>
    <n v="0"/>
    <n v="4"/>
  </r>
  <r>
    <n v="23"/>
    <d v="2025-10-05T00:00:00"/>
    <x v="1"/>
    <n v="8"/>
    <n v="9"/>
    <x v="51"/>
    <n v="3"/>
    <n v="0"/>
    <n v="3"/>
  </r>
  <r>
    <n v="23"/>
    <d v="2025-10-05T00:00:00"/>
    <x v="1"/>
    <n v="9"/>
    <n v="8"/>
    <x v="43"/>
    <n v="2"/>
    <n v="0"/>
    <n v="2"/>
  </r>
  <r>
    <n v="23"/>
    <d v="2025-10-05T00:00:00"/>
    <x v="1"/>
    <n v="10"/>
    <n v="11"/>
    <x v="52"/>
    <n v="1"/>
    <n v="0"/>
    <n v="1"/>
  </r>
  <r>
    <n v="24"/>
    <d v="2025-10-12T00:00:00"/>
    <x v="0"/>
    <n v="1"/>
    <n v="1"/>
    <x v="38"/>
    <n v="10"/>
    <n v="9"/>
    <n v="19"/>
  </r>
  <r>
    <n v="24"/>
    <d v="2025-10-12T00:00:00"/>
    <x v="0"/>
    <n v="2"/>
    <n v="3"/>
    <x v="41"/>
    <n v="9"/>
    <n v="7"/>
    <n v="16"/>
  </r>
  <r>
    <n v="24"/>
    <d v="2025-10-12T00:00:00"/>
    <x v="0"/>
    <n v="3"/>
    <n v="2"/>
    <x v="34"/>
    <n v="8"/>
    <n v="5"/>
    <n v="13"/>
  </r>
  <r>
    <n v="24"/>
    <d v="2025-10-12T00:00:00"/>
    <x v="0"/>
    <n v="4"/>
    <n v="4"/>
    <x v="35"/>
    <n v="7"/>
    <n v="3"/>
    <n v="10"/>
  </r>
  <r>
    <n v="24"/>
    <d v="2025-10-12T00:00:00"/>
    <x v="0"/>
    <n v="5"/>
    <n v="8"/>
    <x v="47"/>
    <n v="6"/>
    <n v="1"/>
    <n v="7"/>
  </r>
  <r>
    <n v="24"/>
    <d v="2025-10-12T00:00:00"/>
    <x v="0"/>
    <n v="6"/>
    <n v="5"/>
    <x v="37"/>
    <n v="5"/>
    <n v="0"/>
    <n v="5"/>
  </r>
  <r>
    <n v="24"/>
    <d v="2025-10-12T00:00:00"/>
    <x v="0"/>
    <n v="7"/>
    <n v="6"/>
    <x v="44"/>
    <n v="4"/>
    <n v="0"/>
    <n v="4"/>
  </r>
  <r>
    <n v="24"/>
    <d v="2025-10-12T00:00:00"/>
    <x v="0"/>
    <n v="8"/>
    <n v="9"/>
    <x v="50"/>
    <n v="3"/>
    <n v="0"/>
    <n v="3"/>
  </r>
  <r>
    <n v="24"/>
    <d v="2025-10-12T00:00:00"/>
    <x v="0"/>
    <n v="9"/>
    <n v="11"/>
    <x v="53"/>
    <n v="2"/>
    <n v="0"/>
    <n v="2"/>
  </r>
  <r>
    <n v="24"/>
    <d v="2025-10-12T00:00:00"/>
    <x v="0"/>
    <n v="10"/>
    <n v="7"/>
    <x v="23"/>
    <n v="1"/>
    <n v="0"/>
    <n v="1"/>
  </r>
  <r>
    <n v="24"/>
    <d v="2025-10-12T00:00:00"/>
    <x v="1"/>
    <n v="1"/>
    <n v="2"/>
    <x v="42"/>
    <n v="10"/>
    <n v="9"/>
    <n v="19"/>
  </r>
  <r>
    <n v="24"/>
    <d v="2025-10-12T00:00:00"/>
    <x v="1"/>
    <n v="2"/>
    <n v="1"/>
    <x v="40"/>
    <n v="9"/>
    <n v="7"/>
    <n v="16"/>
  </r>
  <r>
    <n v="24"/>
    <d v="2025-10-12T00:00:00"/>
    <x v="1"/>
    <n v="3"/>
    <n v="3"/>
    <x v="45"/>
    <n v="8"/>
    <n v="5"/>
    <n v="13"/>
  </r>
  <r>
    <n v="24"/>
    <d v="2025-10-12T00:00:00"/>
    <x v="1"/>
    <n v="4"/>
    <n v="5"/>
    <x v="49"/>
    <n v="7"/>
    <n v="3"/>
    <n v="10"/>
  </r>
  <r>
    <n v="24"/>
    <d v="2025-10-12T00:00:00"/>
    <x v="1"/>
    <n v="5"/>
    <n v="6"/>
    <x v="48"/>
    <n v="6"/>
    <n v="1"/>
    <n v="7"/>
  </r>
  <r>
    <n v="24"/>
    <d v="2025-10-12T00:00:00"/>
    <x v="1"/>
    <n v="6"/>
    <n v="8"/>
    <x v="51"/>
    <n v="5"/>
    <n v="0"/>
    <n v="5"/>
  </r>
  <r>
    <n v="24"/>
    <d v="2025-10-12T00:00:00"/>
    <x v="1"/>
    <n v="7"/>
    <n v="4"/>
    <x v="31"/>
    <n v="4"/>
    <n v="0"/>
    <n v="4"/>
  </r>
  <r>
    <n v="24"/>
    <d v="2025-10-12T00:00:00"/>
    <x v="1"/>
    <n v="8"/>
    <n v="10"/>
    <x v="52"/>
    <n v="3"/>
    <n v="0"/>
    <n v="3"/>
  </r>
  <r>
    <n v="24"/>
    <d v="2025-10-12T00:00:00"/>
    <x v="1"/>
    <n v="9"/>
    <n v="7"/>
    <x v="39"/>
    <n v="2"/>
    <n v="0"/>
    <n v="2"/>
  </r>
  <r>
    <n v="24"/>
    <d v="2025-10-12T00:00:00"/>
    <x v="1"/>
    <n v="10"/>
    <n v="9"/>
    <x v="43"/>
    <n v="1"/>
    <n v="0"/>
    <n v="1"/>
  </r>
  <r>
    <n v="25"/>
    <d v="2025-10-19T00:00:00"/>
    <x v="0"/>
    <n v="1"/>
    <n v="1"/>
    <x v="38"/>
    <n v="10"/>
    <n v="9"/>
    <n v="19"/>
  </r>
  <r>
    <n v="25"/>
    <d v="2025-10-19T00:00:00"/>
    <x v="0"/>
    <n v="2"/>
    <n v="2"/>
    <x v="41"/>
    <n v="9"/>
    <n v="7"/>
    <n v="16"/>
  </r>
  <r>
    <n v="25"/>
    <d v="2025-10-19T00:00:00"/>
    <x v="0"/>
    <n v="3"/>
    <n v="5"/>
    <x v="47"/>
    <n v="8"/>
    <n v="5"/>
    <n v="13"/>
  </r>
  <r>
    <n v="25"/>
    <d v="2025-10-19T00:00:00"/>
    <x v="0"/>
    <n v="4"/>
    <n v="3"/>
    <x v="34"/>
    <n v="7"/>
    <n v="3"/>
    <n v="10"/>
  </r>
  <r>
    <n v="25"/>
    <d v="2025-10-19T00:00:00"/>
    <x v="0"/>
    <n v="5"/>
    <n v="4"/>
    <x v="35"/>
    <n v="6"/>
    <n v="1"/>
    <n v="7"/>
  </r>
  <r>
    <n v="25"/>
    <d v="2025-10-19T00:00:00"/>
    <x v="0"/>
    <n v="6"/>
    <n v="6"/>
    <x v="37"/>
    <n v="5"/>
    <n v="0"/>
    <n v="5"/>
  </r>
  <r>
    <n v="25"/>
    <d v="2025-10-19T00:00:00"/>
    <x v="0"/>
    <n v="7"/>
    <n v="8"/>
    <x v="50"/>
    <n v="4"/>
    <n v="0"/>
    <n v="4"/>
  </r>
  <r>
    <n v="25"/>
    <d v="2025-10-19T00:00:00"/>
    <x v="0"/>
    <n v="8"/>
    <n v="9"/>
    <x v="53"/>
    <n v="3"/>
    <n v="0"/>
    <n v="3"/>
  </r>
  <r>
    <n v="25"/>
    <d v="2025-10-19T00:00:00"/>
    <x v="0"/>
    <n v="9"/>
    <n v="7"/>
    <x v="44"/>
    <n v="2"/>
    <n v="0"/>
    <n v="2"/>
  </r>
  <r>
    <n v="25"/>
    <d v="2025-10-19T00:00:00"/>
    <x v="0"/>
    <n v="10"/>
    <n v="11"/>
    <x v="54"/>
    <n v="1"/>
    <n v="0"/>
    <n v="1"/>
  </r>
  <r>
    <n v="25"/>
    <d v="2025-10-19T00:00:00"/>
    <x v="1"/>
    <n v="1"/>
    <n v="1"/>
    <x v="42"/>
    <n v="10"/>
    <n v="9"/>
    <n v="19"/>
  </r>
  <r>
    <n v="25"/>
    <d v="2025-10-19T00:00:00"/>
    <x v="1"/>
    <n v="2"/>
    <n v="3"/>
    <x v="45"/>
    <n v="9"/>
    <n v="7"/>
    <n v="16"/>
  </r>
  <r>
    <n v="25"/>
    <d v="2025-10-19T00:00:00"/>
    <x v="1"/>
    <n v="3"/>
    <n v="4"/>
    <x v="49"/>
    <n v="8"/>
    <n v="5"/>
    <n v="13"/>
  </r>
  <r>
    <n v="25"/>
    <d v="2025-10-19T00:00:00"/>
    <x v="1"/>
    <n v="4"/>
    <n v="6"/>
    <x v="51"/>
    <n v="7"/>
    <n v="3"/>
    <n v="10"/>
  </r>
  <r>
    <n v="25"/>
    <d v="2025-10-19T00:00:00"/>
    <x v="1"/>
    <n v="5"/>
    <n v="2"/>
    <x v="40"/>
    <n v="6"/>
    <n v="1"/>
    <n v="7"/>
  </r>
  <r>
    <n v="25"/>
    <d v="2025-10-19T00:00:00"/>
    <x v="1"/>
    <n v="6"/>
    <n v="5"/>
    <x v="48"/>
    <n v="5"/>
    <n v="0"/>
    <n v="5"/>
  </r>
  <r>
    <n v="25"/>
    <d v="2025-10-19T00:00:00"/>
    <x v="1"/>
    <n v="7"/>
    <n v="8"/>
    <x v="52"/>
    <n v="4"/>
    <n v="0"/>
    <n v="4"/>
  </r>
  <r>
    <n v="25"/>
    <d v="2025-10-19T00:00:00"/>
    <x v="1"/>
    <n v="8"/>
    <n v="11"/>
    <x v="55"/>
    <n v="3"/>
    <n v="0"/>
    <n v="3"/>
  </r>
  <r>
    <n v="25"/>
    <d v="2025-10-19T00:00:00"/>
    <x v="1"/>
    <n v="9"/>
    <n v="11"/>
    <x v="56"/>
    <n v="2"/>
    <n v="0"/>
    <n v="2"/>
  </r>
  <r>
    <n v="25"/>
    <d v="2025-10-19T00:00:00"/>
    <x v="1"/>
    <n v="10"/>
    <n v="9"/>
    <x v="39"/>
    <n v="1"/>
    <n v="0"/>
    <n v="1"/>
  </r>
  <r>
    <n v="26"/>
    <d v="2025-10-26T00:00:00"/>
    <x v="0"/>
    <n v="1"/>
    <n v="2"/>
    <x v="41"/>
    <n v="10"/>
    <n v="9"/>
    <n v="19"/>
  </r>
  <r>
    <n v="26"/>
    <d v="2025-10-26T00:00:00"/>
    <x v="0"/>
    <n v="2"/>
    <n v="1"/>
    <x v="38"/>
    <n v="9"/>
    <n v="7"/>
    <n v="16"/>
  </r>
  <r>
    <n v="26"/>
    <d v="2025-10-26T00:00:00"/>
    <x v="0"/>
    <n v="3"/>
    <n v="3"/>
    <x v="47"/>
    <n v="8"/>
    <n v="5"/>
    <n v="13"/>
  </r>
  <r>
    <n v="26"/>
    <d v="2025-10-26T00:00:00"/>
    <x v="0"/>
    <n v="4"/>
    <n v="4"/>
    <x v="34"/>
    <n v="7"/>
    <n v="3"/>
    <n v="10"/>
  </r>
  <r>
    <n v="26"/>
    <d v="2025-10-26T00:00:00"/>
    <x v="0"/>
    <n v="5"/>
    <n v="5"/>
    <x v="35"/>
    <n v="6"/>
    <n v="1"/>
    <n v="7"/>
  </r>
  <r>
    <n v="26"/>
    <d v="2025-10-26T00:00:00"/>
    <x v="0"/>
    <n v="6"/>
    <n v="7"/>
    <x v="50"/>
    <n v="5"/>
    <n v="0"/>
    <n v="5"/>
  </r>
  <r>
    <n v="26"/>
    <d v="2025-10-26T00:00:00"/>
    <x v="0"/>
    <n v="7"/>
    <n v="8"/>
    <x v="53"/>
    <n v="4"/>
    <n v="0"/>
    <n v="4"/>
  </r>
  <r>
    <n v="26"/>
    <d v="2025-10-26T00:00:00"/>
    <x v="0"/>
    <n v="8"/>
    <n v="6"/>
    <x v="37"/>
    <n v="3"/>
    <n v="0"/>
    <n v="3"/>
  </r>
  <r>
    <n v="26"/>
    <d v="2025-10-26T00:00:00"/>
    <x v="0"/>
    <n v="9"/>
    <n v="10"/>
    <x v="54"/>
    <n v="2"/>
    <n v="0"/>
    <n v="2"/>
  </r>
  <r>
    <n v="26"/>
    <d v="2025-10-26T00:00:00"/>
    <x v="0"/>
    <n v="10"/>
    <n v="9"/>
    <x v="44"/>
    <n v="1"/>
    <n v="0"/>
    <n v="1"/>
  </r>
  <r>
    <n v="26"/>
    <d v="2025-10-26T00:00:00"/>
    <x v="1"/>
    <n v="1"/>
    <n v="1"/>
    <x v="42"/>
    <n v="10"/>
    <n v="9"/>
    <n v="19"/>
  </r>
  <r>
    <n v="26"/>
    <d v="2025-10-26T00:00:00"/>
    <x v="1"/>
    <n v="2"/>
    <n v="2"/>
    <x v="45"/>
    <n v="9"/>
    <n v="7"/>
    <n v="16"/>
  </r>
  <r>
    <n v="26"/>
    <d v="2025-10-26T00:00:00"/>
    <x v="1"/>
    <n v="3"/>
    <n v="3"/>
    <x v="49"/>
    <n v="8"/>
    <n v="5"/>
    <n v="13"/>
  </r>
  <r>
    <n v="26"/>
    <d v="2025-10-26T00:00:00"/>
    <x v="1"/>
    <n v="4"/>
    <n v="4"/>
    <x v="51"/>
    <n v="7"/>
    <n v="3"/>
    <n v="10"/>
  </r>
  <r>
    <n v="26"/>
    <d v="2025-10-26T00:00:00"/>
    <x v="1"/>
    <n v="5"/>
    <n v="7"/>
    <x v="52"/>
    <n v="6"/>
    <n v="1"/>
    <n v="7"/>
  </r>
  <r>
    <n v="26"/>
    <d v="2025-10-26T00:00:00"/>
    <x v="1"/>
    <n v="6"/>
    <n v="6"/>
    <x v="48"/>
    <n v="5"/>
    <n v="0"/>
    <n v="5"/>
  </r>
  <r>
    <n v="26"/>
    <d v="2025-10-26T00:00:00"/>
    <x v="1"/>
    <n v="7"/>
    <n v="8"/>
    <x v="55"/>
    <n v="4"/>
    <n v="0"/>
    <n v="4"/>
  </r>
  <r>
    <n v="26"/>
    <d v="2025-10-26T00:00:00"/>
    <x v="1"/>
    <n v="8"/>
    <n v="9"/>
    <x v="56"/>
    <n v="3"/>
    <n v="0"/>
    <n v="3"/>
  </r>
  <r>
    <n v="26"/>
    <d v="2025-10-26T00:00:00"/>
    <x v="1"/>
    <n v="9"/>
    <n v="5"/>
    <x v="40"/>
    <n v="2"/>
    <n v="0"/>
    <n v="2"/>
  </r>
  <r>
    <n v="26"/>
    <d v="2025-10-26T00:00:00"/>
    <x v="1"/>
    <n v="10"/>
    <n v="11"/>
    <x v="57"/>
    <n v="1"/>
    <n v="0"/>
    <n v="1"/>
  </r>
  <r>
    <m/>
    <m/>
    <x v="2"/>
    <m/>
    <m/>
    <x v="58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1">
  <r>
    <n v="1"/>
    <d v="2025-01-12T00:00:00"/>
    <x v="0"/>
    <n v="1"/>
    <n v="3"/>
    <x v="0"/>
    <n v="10"/>
    <n v="9"/>
    <n v="19"/>
    <n v="1"/>
    <n v="1"/>
    <n v="-2"/>
  </r>
  <r>
    <n v="1"/>
    <d v="2025-01-12T00:00:00"/>
    <x v="0"/>
    <n v="2"/>
    <n v="1"/>
    <x v="1"/>
    <n v="9"/>
    <n v="7"/>
    <n v="16"/>
    <n v="0"/>
    <n v="1"/>
    <n v="1"/>
  </r>
  <r>
    <n v="1"/>
    <d v="2025-01-12T00:00:00"/>
    <x v="0"/>
    <n v="3"/>
    <n v="2"/>
    <x v="2"/>
    <n v="8"/>
    <n v="5"/>
    <n v="13"/>
    <n v="0"/>
    <n v="1"/>
    <n v="1"/>
  </r>
  <r>
    <n v="1"/>
    <d v="2025-01-12T00:00:00"/>
    <x v="0"/>
    <n v="4"/>
    <n v="5"/>
    <x v="3"/>
    <n v="7"/>
    <n v="3"/>
    <n v="10"/>
    <n v="0"/>
    <n v="0"/>
    <n v="-1"/>
  </r>
  <r>
    <n v="1"/>
    <d v="2025-01-12T00:00:00"/>
    <x v="0"/>
    <n v="5"/>
    <n v="4"/>
    <x v="4"/>
    <n v="6"/>
    <n v="1"/>
    <n v="7"/>
    <n v="0"/>
    <n v="0"/>
    <n v="1"/>
  </r>
  <r>
    <n v="1"/>
    <d v="2025-01-12T00:00:00"/>
    <x v="0"/>
    <n v="6"/>
    <n v="7"/>
    <x v="5"/>
    <n v="5"/>
    <n v="0"/>
    <n v="5"/>
    <n v="0"/>
    <n v="0"/>
    <n v="-1"/>
  </r>
  <r>
    <n v="1"/>
    <d v="2025-01-12T00:00:00"/>
    <x v="0"/>
    <n v="7"/>
    <n v="8"/>
    <x v="6"/>
    <n v="4"/>
    <n v="0"/>
    <n v="4"/>
    <n v="0"/>
    <n v="0"/>
    <n v="-1"/>
  </r>
  <r>
    <n v="1"/>
    <d v="2025-01-12T00:00:00"/>
    <x v="0"/>
    <n v="8"/>
    <n v="6"/>
    <x v="7"/>
    <n v="3"/>
    <n v="0"/>
    <n v="3"/>
    <n v="0"/>
    <n v="0"/>
    <n v="2"/>
  </r>
  <r>
    <n v="1"/>
    <d v="2025-01-12T00:00:00"/>
    <x v="0"/>
    <n v="9"/>
    <n v="11"/>
    <x v="8"/>
    <n v="2"/>
    <n v="0"/>
    <n v="2"/>
    <n v="0"/>
    <n v="0"/>
    <n v="-2"/>
  </r>
  <r>
    <n v="1"/>
    <d v="2025-01-12T00:00:00"/>
    <x v="0"/>
    <n v="10"/>
    <n v="9"/>
    <x v="9"/>
    <n v="1"/>
    <n v="0"/>
    <n v="1"/>
    <n v="0"/>
    <n v="0"/>
    <n v="1"/>
  </r>
  <r>
    <n v="1"/>
    <d v="2025-01-12T00:00:00"/>
    <x v="1"/>
    <n v="1"/>
    <n v="2"/>
    <x v="10"/>
    <n v="10"/>
    <n v="9"/>
    <n v="19"/>
    <n v="1"/>
    <n v="1"/>
    <n v="-1"/>
  </r>
  <r>
    <n v="1"/>
    <d v="2025-01-12T00:00:00"/>
    <x v="1"/>
    <n v="2"/>
    <n v="1"/>
    <x v="11"/>
    <n v="9"/>
    <n v="7"/>
    <n v="16"/>
    <n v="0"/>
    <n v="1"/>
    <n v="1"/>
  </r>
  <r>
    <n v="1"/>
    <d v="2025-01-12T00:00:00"/>
    <x v="1"/>
    <n v="3"/>
    <n v="4"/>
    <x v="12"/>
    <n v="8"/>
    <n v="5"/>
    <n v="13"/>
    <n v="0"/>
    <n v="1"/>
    <n v="-1"/>
  </r>
  <r>
    <n v="1"/>
    <d v="2025-01-12T00:00:00"/>
    <x v="1"/>
    <n v="4"/>
    <n v="6"/>
    <x v="13"/>
    <n v="7"/>
    <n v="3"/>
    <n v="10"/>
    <n v="0"/>
    <n v="0"/>
    <n v="-2"/>
  </r>
  <r>
    <n v="1"/>
    <d v="2025-01-12T00:00:00"/>
    <x v="1"/>
    <n v="5"/>
    <n v="7"/>
    <x v="14"/>
    <n v="6"/>
    <n v="1"/>
    <n v="7"/>
    <n v="0"/>
    <n v="0"/>
    <n v="-2"/>
  </r>
  <r>
    <n v="1"/>
    <d v="2025-01-12T00:00:00"/>
    <x v="1"/>
    <n v="6"/>
    <n v="8"/>
    <x v="15"/>
    <n v="5"/>
    <n v="0"/>
    <n v="5"/>
    <n v="0"/>
    <n v="0"/>
    <n v="-2"/>
  </r>
  <r>
    <n v="1"/>
    <d v="2025-01-12T00:00:00"/>
    <x v="1"/>
    <n v="7"/>
    <n v="3"/>
    <x v="16"/>
    <n v="4"/>
    <n v="0"/>
    <n v="4"/>
    <n v="0"/>
    <n v="0"/>
    <n v="4"/>
  </r>
  <r>
    <n v="1"/>
    <d v="2025-01-12T00:00:00"/>
    <x v="1"/>
    <n v="8"/>
    <n v="5"/>
    <x v="17"/>
    <n v="3"/>
    <n v="0"/>
    <n v="3"/>
    <n v="0"/>
    <n v="0"/>
    <n v="3"/>
  </r>
  <r>
    <n v="1"/>
    <d v="2025-01-12T00:00:00"/>
    <x v="1"/>
    <n v="9"/>
    <n v="11"/>
    <x v="18"/>
    <n v="2"/>
    <n v="0"/>
    <n v="2"/>
    <n v="0"/>
    <n v="0"/>
    <n v="-2"/>
  </r>
  <r>
    <n v="1"/>
    <d v="2025-01-12T00:00:00"/>
    <x v="1"/>
    <n v="10"/>
    <n v="10"/>
    <x v="19"/>
    <n v="1"/>
    <n v="0"/>
    <n v="1"/>
    <n v="0"/>
    <n v="0"/>
    <n v="0"/>
  </r>
  <r>
    <n v="2"/>
    <d v="2025-01-26T00:00:00"/>
    <x v="0"/>
    <n v="1"/>
    <n v="1"/>
    <x v="0"/>
    <n v="10"/>
    <n v="9"/>
    <n v="19"/>
    <n v="1"/>
    <n v="1"/>
    <n v="0"/>
  </r>
  <r>
    <n v="2"/>
    <d v="2025-01-26T00:00:00"/>
    <x v="0"/>
    <n v="2"/>
    <n v="2"/>
    <x v="1"/>
    <n v="9"/>
    <n v="7"/>
    <n v="16"/>
    <n v="0"/>
    <n v="1"/>
    <n v="0"/>
  </r>
  <r>
    <n v="2"/>
    <d v="2025-01-26T00:00:00"/>
    <x v="0"/>
    <n v="3"/>
    <n v="4"/>
    <x v="3"/>
    <n v="8"/>
    <n v="5"/>
    <n v="13"/>
    <n v="0"/>
    <n v="1"/>
    <n v="-1"/>
  </r>
  <r>
    <n v="2"/>
    <d v="2025-01-26T00:00:00"/>
    <x v="0"/>
    <n v="4"/>
    <n v="3"/>
    <x v="2"/>
    <n v="7"/>
    <n v="3"/>
    <n v="10"/>
    <n v="0"/>
    <n v="0"/>
    <n v="1"/>
  </r>
  <r>
    <n v="2"/>
    <d v="2025-01-26T00:00:00"/>
    <x v="0"/>
    <n v="5"/>
    <n v="6"/>
    <x v="5"/>
    <n v="6"/>
    <n v="1"/>
    <n v="7"/>
    <n v="0"/>
    <n v="0"/>
    <n v="-1"/>
  </r>
  <r>
    <n v="2"/>
    <d v="2025-01-26T00:00:00"/>
    <x v="0"/>
    <n v="6"/>
    <n v="7"/>
    <x v="6"/>
    <n v="5"/>
    <n v="0"/>
    <n v="5"/>
    <n v="0"/>
    <n v="0"/>
    <n v="-1"/>
  </r>
  <r>
    <n v="2"/>
    <d v="2025-01-26T00:00:00"/>
    <x v="0"/>
    <n v="7"/>
    <n v="9"/>
    <x v="8"/>
    <n v="4"/>
    <n v="0"/>
    <n v="4"/>
    <n v="0"/>
    <n v="0"/>
    <n v="-2"/>
  </r>
  <r>
    <n v="2"/>
    <d v="2025-01-26T00:00:00"/>
    <x v="0"/>
    <n v="8"/>
    <n v="5"/>
    <x v="4"/>
    <n v="3"/>
    <n v="0"/>
    <n v="3"/>
    <n v="0"/>
    <n v="0"/>
    <n v="3"/>
  </r>
  <r>
    <n v="2"/>
    <d v="2025-01-26T00:00:00"/>
    <x v="0"/>
    <n v="9"/>
    <n v="8"/>
    <x v="7"/>
    <n v="2"/>
    <n v="0"/>
    <n v="2"/>
    <n v="0"/>
    <n v="0"/>
    <n v="1"/>
  </r>
  <r>
    <n v="2"/>
    <d v="2025-01-26T00:00:00"/>
    <x v="0"/>
    <n v="10"/>
    <n v="10"/>
    <x v="9"/>
    <n v="1"/>
    <n v="0"/>
    <n v="1"/>
    <n v="0"/>
    <n v="0"/>
    <n v="0"/>
  </r>
  <r>
    <n v="2"/>
    <d v="2025-01-26T00:00:00"/>
    <x v="1"/>
    <n v="1"/>
    <n v="1"/>
    <x v="10"/>
    <n v="10"/>
    <n v="9"/>
    <n v="19"/>
    <n v="1"/>
    <n v="1"/>
    <n v="0"/>
  </r>
  <r>
    <n v="2"/>
    <d v="2025-01-26T00:00:00"/>
    <x v="1"/>
    <n v="2"/>
    <n v="3"/>
    <x v="12"/>
    <n v="9"/>
    <n v="7"/>
    <n v="16"/>
    <n v="0"/>
    <n v="1"/>
    <n v="-1"/>
  </r>
  <r>
    <n v="2"/>
    <d v="2025-01-26T00:00:00"/>
    <x v="1"/>
    <n v="3"/>
    <n v="2"/>
    <x v="11"/>
    <n v="8"/>
    <n v="5"/>
    <n v="13"/>
    <n v="0"/>
    <n v="1"/>
    <n v="1"/>
  </r>
  <r>
    <n v="2"/>
    <d v="2025-01-26T00:00:00"/>
    <x v="1"/>
    <n v="4"/>
    <n v="4"/>
    <x v="13"/>
    <n v="7"/>
    <n v="3"/>
    <n v="10"/>
    <n v="0"/>
    <n v="0"/>
    <n v="0"/>
  </r>
  <r>
    <n v="2"/>
    <d v="2025-01-26T00:00:00"/>
    <x v="1"/>
    <n v="5"/>
    <n v="5"/>
    <x v="14"/>
    <n v="6"/>
    <n v="1"/>
    <n v="7"/>
    <n v="0"/>
    <n v="0"/>
    <n v="0"/>
  </r>
  <r>
    <n v="2"/>
    <d v="2025-01-26T00:00:00"/>
    <x v="1"/>
    <n v="6"/>
    <n v="6"/>
    <x v="15"/>
    <n v="5"/>
    <n v="0"/>
    <n v="5"/>
    <n v="0"/>
    <n v="0"/>
    <n v="0"/>
  </r>
  <r>
    <n v="2"/>
    <d v="2025-01-26T00:00:00"/>
    <x v="1"/>
    <n v="7"/>
    <n v="9"/>
    <x v="18"/>
    <n v="4"/>
    <n v="0"/>
    <n v="4"/>
    <n v="0"/>
    <n v="0"/>
    <n v="-2"/>
  </r>
  <r>
    <n v="2"/>
    <d v="2025-01-26T00:00:00"/>
    <x v="1"/>
    <n v="8"/>
    <n v="8"/>
    <x v="17"/>
    <n v="3"/>
    <n v="0"/>
    <n v="3"/>
    <n v="0"/>
    <n v="0"/>
    <n v="0"/>
  </r>
  <r>
    <n v="2"/>
    <d v="2025-01-26T00:00:00"/>
    <x v="1"/>
    <n v="9"/>
    <n v="10"/>
    <x v="19"/>
    <n v="2"/>
    <n v="0"/>
    <n v="2"/>
    <n v="0"/>
    <n v="0"/>
    <n v="-1"/>
  </r>
  <r>
    <n v="2"/>
    <d v="2025-01-26T00:00:00"/>
    <x v="1"/>
    <n v="10"/>
    <n v="7"/>
    <x v="16"/>
    <n v="1"/>
    <n v="0"/>
    <n v="1"/>
    <n v="0"/>
    <n v="0"/>
    <n v="3"/>
  </r>
  <r>
    <n v="3"/>
    <d v="2025-02-02T00:00:00"/>
    <x v="0"/>
    <n v="1"/>
    <n v="1"/>
    <x v="0"/>
    <n v="10"/>
    <n v="9"/>
    <n v="19"/>
    <n v="1"/>
    <n v="1"/>
    <n v="0"/>
  </r>
  <r>
    <n v="3"/>
    <d v="2025-02-02T00:00:00"/>
    <x v="0"/>
    <n v="2"/>
    <n v="3"/>
    <x v="3"/>
    <n v="9"/>
    <n v="7"/>
    <n v="16"/>
    <n v="0"/>
    <n v="1"/>
    <n v="-1"/>
  </r>
  <r>
    <n v="3"/>
    <d v="2025-02-02T00:00:00"/>
    <x v="0"/>
    <n v="3"/>
    <n v="2"/>
    <x v="1"/>
    <n v="8"/>
    <n v="5"/>
    <n v="13"/>
    <n v="0"/>
    <n v="1"/>
    <n v="1"/>
  </r>
  <r>
    <n v="3"/>
    <d v="2025-02-02T00:00:00"/>
    <x v="0"/>
    <n v="4"/>
    <n v="5"/>
    <x v="5"/>
    <n v="7"/>
    <n v="3"/>
    <n v="10"/>
    <n v="0"/>
    <n v="0"/>
    <n v="-1"/>
  </r>
  <r>
    <n v="3"/>
    <d v="2025-02-02T00:00:00"/>
    <x v="0"/>
    <n v="5"/>
    <n v="6"/>
    <x v="6"/>
    <n v="6"/>
    <n v="1"/>
    <n v="7"/>
    <n v="0"/>
    <n v="0"/>
    <n v="-1"/>
  </r>
  <r>
    <n v="3"/>
    <d v="2025-02-02T00:00:00"/>
    <x v="0"/>
    <n v="6"/>
    <n v="4"/>
    <x v="2"/>
    <n v="5"/>
    <n v="0"/>
    <n v="5"/>
    <n v="0"/>
    <n v="0"/>
    <n v="2"/>
  </r>
  <r>
    <n v="3"/>
    <d v="2025-02-02T00:00:00"/>
    <x v="0"/>
    <n v="7"/>
    <n v="7"/>
    <x v="8"/>
    <n v="4"/>
    <n v="0"/>
    <n v="4"/>
    <n v="0"/>
    <n v="0"/>
    <n v="0"/>
  </r>
  <r>
    <n v="3"/>
    <d v="2025-02-02T00:00:00"/>
    <x v="0"/>
    <n v="8"/>
    <n v="11"/>
    <x v="20"/>
    <n v="3"/>
    <n v="0"/>
    <n v="3"/>
    <n v="0"/>
    <n v="0"/>
    <n v="-3"/>
  </r>
  <r>
    <n v="3"/>
    <d v="2025-02-02T00:00:00"/>
    <x v="0"/>
    <n v="9"/>
    <n v="11"/>
    <x v="21"/>
    <n v="2"/>
    <n v="0"/>
    <n v="2"/>
    <n v="0"/>
    <n v="0"/>
    <n v="-2"/>
  </r>
  <r>
    <n v="3"/>
    <d v="2025-02-02T00:00:00"/>
    <x v="0"/>
    <n v="10"/>
    <n v="8"/>
    <x v="4"/>
    <n v="1"/>
    <n v="0"/>
    <n v="1"/>
    <n v="0"/>
    <n v="0"/>
    <n v="2"/>
  </r>
  <r>
    <n v="3"/>
    <d v="2025-02-02T00:00:00"/>
    <x v="1"/>
    <n v="1"/>
    <n v="2"/>
    <x v="12"/>
    <n v="10"/>
    <n v="9"/>
    <n v="19"/>
    <n v="1"/>
    <n v="1"/>
    <n v="-1"/>
  </r>
  <r>
    <n v="3"/>
    <d v="2025-02-02T00:00:00"/>
    <x v="1"/>
    <n v="2"/>
    <n v="1"/>
    <x v="10"/>
    <n v="9"/>
    <n v="7"/>
    <n v="16"/>
    <n v="0"/>
    <n v="1"/>
    <n v="1"/>
  </r>
  <r>
    <n v="3"/>
    <d v="2025-02-02T00:00:00"/>
    <x v="1"/>
    <n v="3"/>
    <n v="4"/>
    <x v="13"/>
    <n v="8"/>
    <n v="5"/>
    <n v="13"/>
    <n v="0"/>
    <n v="1"/>
    <n v="-1"/>
  </r>
  <r>
    <n v="3"/>
    <d v="2025-02-02T00:00:00"/>
    <x v="1"/>
    <n v="4"/>
    <n v="5"/>
    <x v="14"/>
    <n v="7"/>
    <n v="3"/>
    <n v="10"/>
    <n v="0"/>
    <n v="0"/>
    <n v="-1"/>
  </r>
  <r>
    <n v="3"/>
    <d v="2025-02-02T00:00:00"/>
    <x v="1"/>
    <n v="5"/>
    <n v="6"/>
    <x v="15"/>
    <n v="6"/>
    <n v="1"/>
    <n v="7"/>
    <n v="0"/>
    <n v="0"/>
    <n v="-1"/>
  </r>
  <r>
    <n v="3"/>
    <d v="2025-02-02T00:00:00"/>
    <x v="1"/>
    <n v="6"/>
    <n v="3"/>
    <x v="11"/>
    <n v="5"/>
    <n v="0"/>
    <n v="5"/>
    <n v="0"/>
    <n v="0"/>
    <n v="3"/>
  </r>
  <r>
    <n v="3"/>
    <d v="2025-02-02T00:00:00"/>
    <x v="1"/>
    <n v="7"/>
    <n v="7"/>
    <x v="18"/>
    <n v="4"/>
    <n v="0"/>
    <n v="4"/>
    <n v="0"/>
    <n v="0"/>
    <n v="0"/>
  </r>
  <r>
    <n v="3"/>
    <d v="2025-02-02T00:00:00"/>
    <x v="1"/>
    <n v="8"/>
    <n v="9"/>
    <x v="19"/>
    <n v="3"/>
    <n v="0"/>
    <n v="3"/>
    <n v="0"/>
    <n v="0"/>
    <n v="-1"/>
  </r>
  <r>
    <n v="3"/>
    <d v="2025-02-02T00:00:00"/>
    <x v="1"/>
    <n v="9"/>
    <n v="8"/>
    <x v="17"/>
    <n v="2"/>
    <n v="0"/>
    <n v="2"/>
    <n v="0"/>
    <n v="0"/>
    <n v="1"/>
  </r>
  <r>
    <n v="3"/>
    <d v="2025-02-02T00:00:00"/>
    <x v="1"/>
    <n v="10"/>
    <n v="11"/>
    <x v="22"/>
    <n v="1"/>
    <n v="0"/>
    <n v="1"/>
    <n v="0"/>
    <n v="0"/>
    <n v="-1"/>
  </r>
  <r>
    <n v="4"/>
    <d v="2025-02-09T00:00:00"/>
    <x v="0"/>
    <n v="1"/>
    <n v="1"/>
    <x v="0"/>
    <n v="10"/>
    <n v="9"/>
    <n v="19"/>
    <n v="1"/>
    <n v="1"/>
    <n v="0"/>
  </r>
  <r>
    <n v="4"/>
    <d v="2025-02-09T00:00:00"/>
    <x v="0"/>
    <n v="2"/>
    <n v="2"/>
    <x v="3"/>
    <n v="9"/>
    <n v="7"/>
    <n v="16"/>
    <n v="0"/>
    <n v="1"/>
    <n v="0"/>
  </r>
  <r>
    <n v="4"/>
    <d v="2025-02-09T00:00:00"/>
    <x v="0"/>
    <n v="3"/>
    <n v="4"/>
    <x v="5"/>
    <n v="8"/>
    <n v="5"/>
    <n v="13"/>
    <n v="0"/>
    <n v="1"/>
    <n v="-1"/>
  </r>
  <r>
    <n v="4"/>
    <d v="2025-02-09T00:00:00"/>
    <x v="0"/>
    <n v="4"/>
    <n v="5"/>
    <x v="6"/>
    <n v="7"/>
    <n v="3"/>
    <n v="10"/>
    <n v="0"/>
    <n v="0"/>
    <n v="-1"/>
  </r>
  <r>
    <n v="4"/>
    <d v="2025-02-09T00:00:00"/>
    <x v="0"/>
    <n v="5"/>
    <n v="3"/>
    <x v="1"/>
    <n v="6"/>
    <n v="1"/>
    <n v="7"/>
    <n v="0"/>
    <n v="0"/>
    <n v="2"/>
  </r>
  <r>
    <n v="4"/>
    <d v="2025-02-09T00:00:00"/>
    <x v="0"/>
    <n v="6"/>
    <n v="7"/>
    <x v="8"/>
    <n v="5"/>
    <n v="0"/>
    <n v="5"/>
    <n v="0"/>
    <n v="0"/>
    <n v="-1"/>
  </r>
  <r>
    <n v="4"/>
    <d v="2025-02-09T00:00:00"/>
    <x v="0"/>
    <n v="7"/>
    <n v="8"/>
    <x v="20"/>
    <n v="4"/>
    <n v="0"/>
    <n v="4"/>
    <n v="0"/>
    <n v="0"/>
    <n v="-1"/>
  </r>
  <r>
    <n v="4"/>
    <d v="2025-02-09T00:00:00"/>
    <x v="0"/>
    <n v="8"/>
    <n v="9"/>
    <x v="21"/>
    <n v="3"/>
    <n v="0"/>
    <n v="3"/>
    <n v="0"/>
    <n v="0"/>
    <n v="-1"/>
  </r>
  <r>
    <n v="4"/>
    <d v="2025-02-09T00:00:00"/>
    <x v="0"/>
    <n v="9"/>
    <n v="6"/>
    <x v="2"/>
    <n v="2"/>
    <n v="0"/>
    <n v="2"/>
    <n v="0"/>
    <n v="0"/>
    <n v="3"/>
  </r>
  <r>
    <n v="4"/>
    <d v="2025-02-09T00:00:00"/>
    <x v="0"/>
    <n v="10"/>
    <n v="11"/>
    <x v="23"/>
    <n v="1"/>
    <n v="0"/>
    <n v="1"/>
    <n v="0"/>
    <n v="0"/>
    <n v="-1"/>
  </r>
  <r>
    <n v="4"/>
    <d v="2025-02-09T00:00:00"/>
    <x v="1"/>
    <n v="1"/>
    <n v="1"/>
    <x v="12"/>
    <n v="10"/>
    <n v="9"/>
    <n v="19"/>
    <n v="1"/>
    <n v="1"/>
    <n v="0"/>
  </r>
  <r>
    <n v="4"/>
    <d v="2025-02-09T00:00:00"/>
    <x v="1"/>
    <n v="2"/>
    <n v="3"/>
    <x v="13"/>
    <n v="9"/>
    <n v="7"/>
    <n v="16"/>
    <n v="0"/>
    <n v="1"/>
    <n v="-1"/>
  </r>
  <r>
    <n v="4"/>
    <d v="2025-02-09T00:00:00"/>
    <x v="1"/>
    <n v="3"/>
    <n v="2"/>
    <x v="10"/>
    <n v="8"/>
    <n v="5"/>
    <n v="13"/>
    <n v="0"/>
    <n v="1"/>
    <n v="1"/>
  </r>
  <r>
    <n v="4"/>
    <d v="2025-02-09T00:00:00"/>
    <x v="1"/>
    <n v="4"/>
    <n v="4"/>
    <x v="14"/>
    <n v="7"/>
    <n v="3"/>
    <n v="10"/>
    <n v="0"/>
    <n v="0"/>
    <n v="0"/>
  </r>
  <r>
    <n v="4"/>
    <d v="2025-02-09T00:00:00"/>
    <x v="1"/>
    <n v="5"/>
    <n v="5"/>
    <x v="15"/>
    <n v="6"/>
    <n v="1"/>
    <n v="7"/>
    <n v="0"/>
    <n v="0"/>
    <n v="0"/>
  </r>
  <r>
    <n v="4"/>
    <d v="2025-02-09T00:00:00"/>
    <x v="1"/>
    <n v="6"/>
    <n v="7"/>
    <x v="18"/>
    <n v="5"/>
    <n v="0"/>
    <n v="5"/>
    <n v="0"/>
    <n v="0"/>
    <n v="-1"/>
  </r>
  <r>
    <n v="4"/>
    <d v="2025-02-09T00:00:00"/>
    <x v="1"/>
    <n v="7"/>
    <n v="6"/>
    <x v="11"/>
    <n v="4"/>
    <n v="0"/>
    <n v="4"/>
    <n v="0"/>
    <n v="0"/>
    <n v="1"/>
  </r>
  <r>
    <n v="4"/>
    <d v="2025-02-09T00:00:00"/>
    <x v="1"/>
    <n v="8"/>
    <n v="10"/>
    <x v="22"/>
    <n v="3"/>
    <n v="0"/>
    <n v="3"/>
    <n v="0"/>
    <n v="0"/>
    <n v="-2"/>
  </r>
  <r>
    <n v="4"/>
    <d v="2025-02-09T00:00:00"/>
    <x v="1"/>
    <n v="9"/>
    <n v="9"/>
    <x v="17"/>
    <n v="2"/>
    <n v="0"/>
    <n v="2"/>
    <n v="0"/>
    <n v="0"/>
    <n v="0"/>
  </r>
  <r>
    <n v="4"/>
    <d v="2025-02-09T00:00:00"/>
    <x v="1"/>
    <n v="10"/>
    <n v="11"/>
    <x v="24"/>
    <n v="1"/>
    <n v="0"/>
    <n v="1"/>
    <n v="0"/>
    <n v="0"/>
    <n v="-1"/>
  </r>
  <r>
    <n v="5"/>
    <d v="2025-02-23T00:00:00"/>
    <x v="0"/>
    <n v="1"/>
    <n v="1"/>
    <x v="0"/>
    <n v="10"/>
    <n v="9"/>
    <n v="19"/>
    <n v="1"/>
    <n v="1"/>
    <n v="0"/>
  </r>
  <r>
    <n v="5"/>
    <d v="2025-02-23T00:00:00"/>
    <x v="0"/>
    <n v="2"/>
    <n v="2"/>
    <x v="3"/>
    <n v="9"/>
    <n v="7"/>
    <n v="16"/>
    <n v="0"/>
    <n v="1"/>
    <n v="0"/>
  </r>
  <r>
    <n v="5"/>
    <d v="2025-02-23T00:00:00"/>
    <x v="0"/>
    <n v="3"/>
    <n v="6"/>
    <x v="8"/>
    <n v="8"/>
    <n v="5"/>
    <n v="13"/>
    <n v="0"/>
    <n v="1"/>
    <n v="-3"/>
  </r>
  <r>
    <n v="5"/>
    <d v="2025-02-23T00:00:00"/>
    <x v="0"/>
    <n v="4"/>
    <n v="3"/>
    <x v="5"/>
    <n v="7"/>
    <n v="3"/>
    <n v="10"/>
    <n v="0"/>
    <n v="0"/>
    <n v="1"/>
  </r>
  <r>
    <n v="5"/>
    <d v="2025-02-23T00:00:00"/>
    <x v="0"/>
    <n v="5"/>
    <n v="4"/>
    <x v="6"/>
    <n v="6"/>
    <n v="1"/>
    <n v="7"/>
    <n v="0"/>
    <n v="0"/>
    <n v="1"/>
  </r>
  <r>
    <n v="5"/>
    <d v="2025-02-23T00:00:00"/>
    <x v="0"/>
    <n v="6"/>
    <n v="7"/>
    <x v="20"/>
    <n v="5"/>
    <n v="0"/>
    <n v="5"/>
    <n v="0"/>
    <n v="0"/>
    <n v="-1"/>
  </r>
  <r>
    <n v="5"/>
    <d v="2025-02-23T00:00:00"/>
    <x v="0"/>
    <n v="7"/>
    <n v="5"/>
    <x v="1"/>
    <n v="4"/>
    <n v="0"/>
    <n v="4"/>
    <n v="0"/>
    <n v="0"/>
    <n v="2"/>
  </r>
  <r>
    <n v="5"/>
    <d v="2025-02-23T00:00:00"/>
    <x v="0"/>
    <n v="8"/>
    <n v="8"/>
    <x v="21"/>
    <n v="3"/>
    <n v="0"/>
    <n v="3"/>
    <n v="0"/>
    <n v="0"/>
    <n v="0"/>
  </r>
  <r>
    <n v="5"/>
    <d v="2025-02-23T00:00:00"/>
    <x v="0"/>
    <n v="9"/>
    <n v="10"/>
    <x v="23"/>
    <n v="2"/>
    <n v="0"/>
    <n v="2"/>
    <n v="0"/>
    <n v="0"/>
    <n v="-1"/>
  </r>
  <r>
    <n v="5"/>
    <d v="2025-02-23T00:00:00"/>
    <x v="0"/>
    <n v="10"/>
    <n v="9"/>
    <x v="2"/>
    <n v="1"/>
    <n v="0"/>
    <n v="1"/>
    <n v="0"/>
    <n v="0"/>
    <n v="1"/>
  </r>
  <r>
    <n v="5"/>
    <d v="2025-02-23T00:00:00"/>
    <x v="1"/>
    <n v="1"/>
    <n v="1"/>
    <x v="12"/>
    <n v="10"/>
    <n v="9"/>
    <n v="19"/>
    <n v="1"/>
    <n v="1"/>
    <n v="0"/>
  </r>
  <r>
    <n v="5"/>
    <d v="2025-02-23T00:00:00"/>
    <x v="1"/>
    <n v="2"/>
    <n v="2"/>
    <x v="13"/>
    <n v="9"/>
    <n v="7"/>
    <n v="16"/>
    <n v="0"/>
    <n v="1"/>
    <n v="0"/>
  </r>
  <r>
    <n v="5"/>
    <d v="2025-02-23T00:00:00"/>
    <x v="1"/>
    <n v="3"/>
    <n v="3"/>
    <x v="10"/>
    <n v="8"/>
    <n v="5"/>
    <n v="13"/>
    <n v="0"/>
    <n v="1"/>
    <n v="0"/>
  </r>
  <r>
    <n v="5"/>
    <d v="2025-02-23T00:00:00"/>
    <x v="1"/>
    <n v="4"/>
    <n v="6"/>
    <x v="18"/>
    <n v="7"/>
    <n v="3"/>
    <n v="10"/>
    <n v="0"/>
    <n v="0"/>
    <n v="-2"/>
  </r>
  <r>
    <n v="5"/>
    <d v="2025-02-23T00:00:00"/>
    <x v="1"/>
    <n v="5"/>
    <n v="4"/>
    <x v="14"/>
    <n v="6"/>
    <n v="1"/>
    <n v="7"/>
    <n v="0"/>
    <n v="0"/>
    <n v="1"/>
  </r>
  <r>
    <n v="5"/>
    <d v="2025-02-23T00:00:00"/>
    <x v="1"/>
    <n v="6"/>
    <n v="5"/>
    <x v="15"/>
    <n v="5"/>
    <n v="0"/>
    <n v="5"/>
    <n v="0"/>
    <n v="0"/>
    <n v="1"/>
  </r>
  <r>
    <n v="5"/>
    <d v="2025-02-23T00:00:00"/>
    <x v="1"/>
    <n v="7"/>
    <n v="8"/>
    <x v="22"/>
    <n v="4"/>
    <n v="0"/>
    <n v="4"/>
    <n v="0"/>
    <n v="0"/>
    <n v="-1"/>
  </r>
  <r>
    <n v="5"/>
    <d v="2025-02-23T00:00:00"/>
    <x v="1"/>
    <n v="8"/>
    <n v="10"/>
    <x v="24"/>
    <n v="3"/>
    <n v="0"/>
    <n v="3"/>
    <n v="0"/>
    <n v="0"/>
    <n v="-2"/>
  </r>
  <r>
    <n v="5"/>
    <d v="2025-02-23T00:00:00"/>
    <x v="1"/>
    <n v="9"/>
    <n v="11"/>
    <x v="25"/>
    <n v="2"/>
    <n v="0"/>
    <n v="2"/>
    <n v="0"/>
    <n v="0"/>
    <n v="-2"/>
  </r>
  <r>
    <n v="5"/>
    <d v="2025-02-23T00:00:00"/>
    <x v="1"/>
    <n v="10"/>
    <n v="9"/>
    <x v="17"/>
    <n v="1"/>
    <n v="0"/>
    <n v="1"/>
    <n v="0"/>
    <n v="0"/>
    <n v="1"/>
  </r>
  <r>
    <n v="6"/>
    <d v="2025-03-09T00:00:00"/>
    <x v="0"/>
    <n v="1"/>
    <n v="1"/>
    <x v="0"/>
    <n v="10"/>
    <n v="9"/>
    <n v="19"/>
    <n v="1"/>
    <n v="1"/>
    <n v="0"/>
  </r>
  <r>
    <n v="6"/>
    <d v="2025-03-09T00:00:00"/>
    <x v="0"/>
    <n v="2"/>
    <n v="2"/>
    <x v="3"/>
    <n v="9"/>
    <n v="7"/>
    <n v="16"/>
    <n v="0"/>
    <n v="1"/>
    <n v="0"/>
  </r>
  <r>
    <n v="6"/>
    <d v="2025-03-09T00:00:00"/>
    <x v="0"/>
    <n v="3"/>
    <n v="3"/>
    <x v="8"/>
    <n v="8"/>
    <n v="5"/>
    <n v="13"/>
    <n v="0"/>
    <n v="1"/>
    <n v="0"/>
  </r>
  <r>
    <n v="6"/>
    <d v="2025-03-09T00:00:00"/>
    <x v="0"/>
    <n v="4"/>
    <n v="4"/>
    <x v="5"/>
    <n v="7"/>
    <n v="3"/>
    <n v="10"/>
    <n v="0"/>
    <n v="0"/>
    <n v="0"/>
  </r>
  <r>
    <n v="6"/>
    <d v="2025-03-09T00:00:00"/>
    <x v="0"/>
    <n v="5"/>
    <n v="6"/>
    <x v="20"/>
    <n v="6"/>
    <n v="1"/>
    <n v="7"/>
    <n v="0"/>
    <n v="0"/>
    <n v="-1"/>
  </r>
  <r>
    <n v="6"/>
    <d v="2025-03-09T00:00:00"/>
    <x v="0"/>
    <n v="6"/>
    <n v="7"/>
    <x v="1"/>
    <n v="5"/>
    <n v="0"/>
    <n v="5"/>
    <n v="0"/>
    <n v="0"/>
    <n v="-1"/>
  </r>
  <r>
    <n v="6"/>
    <d v="2025-03-09T00:00:00"/>
    <x v="0"/>
    <n v="7"/>
    <n v="8"/>
    <x v="21"/>
    <n v="4"/>
    <n v="0"/>
    <n v="4"/>
    <n v="0"/>
    <n v="0"/>
    <n v="-1"/>
  </r>
  <r>
    <n v="6"/>
    <d v="2025-03-09T00:00:00"/>
    <x v="0"/>
    <n v="8"/>
    <n v="9"/>
    <x v="23"/>
    <n v="3"/>
    <n v="0"/>
    <n v="3"/>
    <n v="0"/>
    <n v="0"/>
    <n v="-1"/>
  </r>
  <r>
    <n v="6"/>
    <d v="2025-03-09T00:00:00"/>
    <x v="0"/>
    <n v="9"/>
    <n v="5"/>
    <x v="6"/>
    <n v="2"/>
    <n v="0"/>
    <n v="2"/>
    <n v="0"/>
    <n v="0"/>
    <n v="4"/>
  </r>
  <r>
    <n v="6"/>
    <d v="2025-03-09T00:00:00"/>
    <x v="0"/>
    <n v="10"/>
    <n v="11"/>
    <x v="26"/>
    <n v="1"/>
    <n v="0"/>
    <n v="1"/>
    <n v="0"/>
    <n v="0"/>
    <n v="-1"/>
  </r>
  <r>
    <n v="6"/>
    <d v="2025-03-09T00:00:00"/>
    <x v="1"/>
    <n v="1"/>
    <n v="1"/>
    <x v="12"/>
    <n v="10"/>
    <n v="9"/>
    <n v="19"/>
    <n v="1"/>
    <n v="1"/>
    <n v="0"/>
  </r>
  <r>
    <n v="6"/>
    <d v="2025-03-09T00:00:00"/>
    <x v="1"/>
    <n v="2"/>
    <n v="2"/>
    <x v="13"/>
    <n v="9"/>
    <n v="7"/>
    <n v="16"/>
    <n v="0"/>
    <n v="1"/>
    <n v="0"/>
  </r>
  <r>
    <n v="6"/>
    <d v="2025-03-09T00:00:00"/>
    <x v="1"/>
    <n v="3"/>
    <n v="4"/>
    <x v="18"/>
    <n v="8"/>
    <n v="5"/>
    <n v="13"/>
    <n v="0"/>
    <n v="1"/>
    <n v="-1"/>
  </r>
  <r>
    <n v="6"/>
    <d v="2025-03-09T00:00:00"/>
    <x v="1"/>
    <n v="4"/>
    <n v="3"/>
    <x v="10"/>
    <n v="7"/>
    <n v="3"/>
    <n v="10"/>
    <n v="0"/>
    <n v="0"/>
    <n v="1"/>
  </r>
  <r>
    <n v="6"/>
    <d v="2025-03-09T00:00:00"/>
    <x v="1"/>
    <n v="5"/>
    <n v="5"/>
    <x v="14"/>
    <n v="6"/>
    <n v="1"/>
    <n v="7"/>
    <n v="0"/>
    <n v="0"/>
    <n v="0"/>
  </r>
  <r>
    <n v="6"/>
    <d v="2025-03-09T00:00:00"/>
    <x v="1"/>
    <n v="6"/>
    <n v="7"/>
    <x v="22"/>
    <n v="5"/>
    <n v="0"/>
    <n v="5"/>
    <n v="0"/>
    <n v="0"/>
    <n v="-1"/>
  </r>
  <r>
    <n v="6"/>
    <d v="2025-03-09T00:00:00"/>
    <x v="1"/>
    <n v="7"/>
    <n v="6"/>
    <x v="15"/>
    <n v="4"/>
    <n v="0"/>
    <n v="4"/>
    <n v="0"/>
    <n v="0"/>
    <n v="1"/>
  </r>
  <r>
    <n v="6"/>
    <d v="2025-03-09T00:00:00"/>
    <x v="1"/>
    <n v="8"/>
    <n v="8"/>
    <x v="24"/>
    <n v="3"/>
    <n v="0"/>
    <n v="3"/>
    <n v="0"/>
    <n v="0"/>
    <n v="0"/>
  </r>
  <r>
    <n v="6"/>
    <d v="2025-03-09T00:00:00"/>
    <x v="1"/>
    <n v="9"/>
    <n v="9"/>
    <x v="25"/>
    <n v="2"/>
    <n v="0"/>
    <n v="2"/>
    <n v="0"/>
    <n v="0"/>
    <n v="0"/>
  </r>
  <r>
    <n v="6"/>
    <d v="2025-03-09T00:00:00"/>
    <x v="1"/>
    <n v="10"/>
    <n v="10"/>
    <x v="17"/>
    <n v="1"/>
    <n v="0"/>
    <n v="1"/>
    <n v="0"/>
    <n v="0"/>
    <n v="0"/>
  </r>
  <r>
    <n v="7"/>
    <d v="2025-03-23T00:00:00"/>
    <x v="0"/>
    <n v="1"/>
    <n v="2"/>
    <x v="3"/>
    <n v="10"/>
    <n v="9"/>
    <n v="19"/>
    <n v="1"/>
    <n v="1"/>
    <n v="-1"/>
  </r>
  <r>
    <n v="7"/>
    <d v="2025-03-23T00:00:00"/>
    <x v="0"/>
    <n v="2"/>
    <n v="3"/>
    <x v="8"/>
    <n v="9"/>
    <n v="7"/>
    <n v="16"/>
    <n v="0"/>
    <n v="1"/>
    <n v="-1"/>
  </r>
  <r>
    <n v="7"/>
    <d v="2025-03-23T00:00:00"/>
    <x v="0"/>
    <n v="3"/>
    <n v="4"/>
    <x v="5"/>
    <n v="8"/>
    <n v="5"/>
    <n v="13"/>
    <n v="0"/>
    <n v="1"/>
    <n v="-1"/>
  </r>
  <r>
    <n v="7"/>
    <d v="2025-03-23T00:00:00"/>
    <x v="0"/>
    <n v="4"/>
    <n v="1"/>
    <x v="0"/>
    <n v="7"/>
    <n v="3"/>
    <n v="10"/>
    <n v="0"/>
    <n v="0"/>
    <n v="3"/>
  </r>
  <r>
    <n v="7"/>
    <d v="2025-03-23T00:00:00"/>
    <x v="0"/>
    <n v="5"/>
    <n v="5"/>
    <x v="20"/>
    <n v="6"/>
    <n v="1"/>
    <n v="7"/>
    <n v="0"/>
    <n v="0"/>
    <n v="0"/>
  </r>
  <r>
    <n v="7"/>
    <d v="2025-03-23T00:00:00"/>
    <x v="0"/>
    <n v="6"/>
    <n v="7"/>
    <x v="21"/>
    <n v="5"/>
    <n v="0"/>
    <n v="5"/>
    <n v="0"/>
    <n v="0"/>
    <n v="-1"/>
  </r>
  <r>
    <n v="7"/>
    <d v="2025-03-23T00:00:00"/>
    <x v="0"/>
    <n v="7"/>
    <n v="8"/>
    <x v="23"/>
    <n v="4"/>
    <n v="0"/>
    <n v="4"/>
    <n v="0"/>
    <n v="0"/>
    <n v="-1"/>
  </r>
  <r>
    <n v="7"/>
    <d v="2025-03-23T00:00:00"/>
    <x v="0"/>
    <n v="8"/>
    <n v="10"/>
    <x v="26"/>
    <n v="3"/>
    <n v="0"/>
    <n v="3"/>
    <n v="0"/>
    <n v="0"/>
    <n v="-2"/>
  </r>
  <r>
    <n v="7"/>
    <d v="2025-03-23T00:00:00"/>
    <x v="0"/>
    <n v="9"/>
    <n v="6"/>
    <x v="1"/>
    <n v="2"/>
    <n v="0"/>
    <n v="2"/>
    <n v="0"/>
    <n v="0"/>
    <n v="3"/>
  </r>
  <r>
    <n v="7"/>
    <d v="2025-03-23T00:00:00"/>
    <x v="0"/>
    <n v="10"/>
    <n v="11"/>
    <x v="27"/>
    <n v="1"/>
    <n v="0"/>
    <n v="1"/>
    <n v="0"/>
    <n v="0"/>
    <n v="-1"/>
  </r>
  <r>
    <n v="7"/>
    <d v="2025-03-23T00:00:00"/>
    <x v="1"/>
    <n v="1"/>
    <n v="1"/>
    <x v="12"/>
    <n v="10"/>
    <n v="9"/>
    <n v="19"/>
    <n v="1"/>
    <n v="1"/>
    <n v="0"/>
  </r>
  <r>
    <n v="7"/>
    <d v="2025-03-23T00:00:00"/>
    <x v="1"/>
    <n v="2"/>
    <n v="3"/>
    <x v="18"/>
    <n v="9"/>
    <n v="7"/>
    <n v="16"/>
    <n v="0"/>
    <n v="1"/>
    <n v="-1"/>
  </r>
  <r>
    <n v="7"/>
    <d v="2025-03-23T00:00:00"/>
    <x v="1"/>
    <n v="3"/>
    <n v="2"/>
    <x v="13"/>
    <n v="8"/>
    <n v="5"/>
    <n v="13"/>
    <n v="0"/>
    <n v="1"/>
    <n v="1"/>
  </r>
  <r>
    <n v="7"/>
    <d v="2025-03-23T00:00:00"/>
    <x v="1"/>
    <n v="4"/>
    <n v="6"/>
    <x v="22"/>
    <n v="7"/>
    <n v="3"/>
    <n v="10"/>
    <n v="0"/>
    <n v="0"/>
    <n v="-2"/>
  </r>
  <r>
    <n v="7"/>
    <d v="2025-03-23T00:00:00"/>
    <x v="1"/>
    <n v="5"/>
    <n v="4"/>
    <x v="10"/>
    <n v="6"/>
    <n v="1"/>
    <n v="7"/>
    <n v="0"/>
    <n v="0"/>
    <n v="1"/>
  </r>
  <r>
    <n v="7"/>
    <d v="2025-03-23T00:00:00"/>
    <x v="1"/>
    <n v="6"/>
    <n v="8"/>
    <x v="24"/>
    <n v="5"/>
    <n v="0"/>
    <n v="5"/>
    <n v="0"/>
    <n v="0"/>
    <n v="-2"/>
  </r>
  <r>
    <n v="7"/>
    <d v="2025-03-23T00:00:00"/>
    <x v="1"/>
    <n v="7"/>
    <n v="9"/>
    <x v="25"/>
    <n v="4"/>
    <n v="0"/>
    <n v="4"/>
    <n v="0"/>
    <n v="0"/>
    <n v="-2"/>
  </r>
  <r>
    <n v="7"/>
    <d v="2025-03-23T00:00:00"/>
    <x v="1"/>
    <n v="8"/>
    <n v="5"/>
    <x v="14"/>
    <n v="3"/>
    <n v="0"/>
    <n v="3"/>
    <n v="0"/>
    <n v="0"/>
    <n v="3"/>
  </r>
  <r>
    <n v="7"/>
    <d v="2025-03-23T00:00:00"/>
    <x v="1"/>
    <n v="9"/>
    <n v="7"/>
    <x v="15"/>
    <n v="2"/>
    <n v="0"/>
    <n v="2"/>
    <n v="0"/>
    <n v="0"/>
    <n v="2"/>
  </r>
  <r>
    <n v="7"/>
    <d v="2025-03-23T00:00:00"/>
    <x v="1"/>
    <n v="10"/>
    <n v="11"/>
    <x v="28"/>
    <n v="1"/>
    <n v="0"/>
    <n v="1"/>
    <n v="0"/>
    <n v="0"/>
    <n v="-1"/>
  </r>
  <r>
    <n v="8"/>
    <d v="2025-04-06T00:00:00"/>
    <x v="0"/>
    <n v="1"/>
    <n v="1"/>
    <x v="3"/>
    <n v="10"/>
    <n v="9"/>
    <n v="19"/>
    <n v="1"/>
    <n v="1"/>
    <n v="0"/>
  </r>
  <r>
    <n v="8"/>
    <d v="2025-04-06T00:00:00"/>
    <x v="0"/>
    <n v="2"/>
    <n v="2"/>
    <x v="8"/>
    <n v="9"/>
    <n v="7"/>
    <n v="16"/>
    <n v="0"/>
    <n v="1"/>
    <n v="0"/>
  </r>
  <r>
    <n v="8"/>
    <d v="2025-04-06T00:00:00"/>
    <x v="0"/>
    <n v="3"/>
    <n v="5"/>
    <x v="20"/>
    <n v="8"/>
    <n v="5"/>
    <n v="13"/>
    <n v="0"/>
    <n v="1"/>
    <n v="-2"/>
  </r>
  <r>
    <n v="8"/>
    <d v="2025-04-06T00:00:00"/>
    <x v="0"/>
    <n v="4"/>
    <n v="3"/>
    <x v="5"/>
    <n v="7"/>
    <n v="3"/>
    <n v="10"/>
    <n v="0"/>
    <n v="0"/>
    <n v="1"/>
  </r>
  <r>
    <n v="8"/>
    <d v="2025-04-06T00:00:00"/>
    <x v="0"/>
    <n v="5"/>
    <n v="4"/>
    <x v="0"/>
    <n v="6"/>
    <n v="1"/>
    <n v="7"/>
    <n v="0"/>
    <n v="0"/>
    <n v="1"/>
  </r>
  <r>
    <n v="8"/>
    <d v="2025-04-06T00:00:00"/>
    <x v="0"/>
    <n v="6"/>
    <n v="6"/>
    <x v="21"/>
    <n v="5"/>
    <n v="0"/>
    <n v="5"/>
    <n v="0"/>
    <n v="0"/>
    <n v="0"/>
  </r>
  <r>
    <n v="8"/>
    <d v="2025-04-06T00:00:00"/>
    <x v="0"/>
    <n v="7"/>
    <n v="7"/>
    <x v="23"/>
    <n v="4"/>
    <n v="0"/>
    <n v="4"/>
    <n v="0"/>
    <n v="0"/>
    <n v="0"/>
  </r>
  <r>
    <n v="8"/>
    <d v="2025-04-06T00:00:00"/>
    <x v="0"/>
    <n v="8"/>
    <n v="8"/>
    <x v="26"/>
    <n v="3"/>
    <n v="0"/>
    <n v="3"/>
    <n v="0"/>
    <n v="0"/>
    <n v="0"/>
  </r>
  <r>
    <n v="8"/>
    <d v="2025-04-06T00:00:00"/>
    <x v="0"/>
    <n v="9"/>
    <n v="10"/>
    <x v="27"/>
    <n v="2"/>
    <n v="0"/>
    <n v="2"/>
    <n v="0"/>
    <n v="0"/>
    <n v="-1"/>
  </r>
  <r>
    <n v="8"/>
    <d v="2025-04-06T00:00:00"/>
    <x v="0"/>
    <n v="10"/>
    <n v="11"/>
    <x v="29"/>
    <n v="1"/>
    <n v="0"/>
    <n v="1"/>
    <n v="0"/>
    <n v="0"/>
    <n v="-1"/>
  </r>
  <r>
    <n v="8"/>
    <d v="2025-04-06T00:00:00"/>
    <x v="1"/>
    <n v="1"/>
    <n v="2"/>
    <x v="18"/>
    <n v="10"/>
    <n v="9"/>
    <n v="19"/>
    <n v="1"/>
    <n v="1"/>
    <n v="-1"/>
  </r>
  <r>
    <n v="8"/>
    <d v="2025-04-06T00:00:00"/>
    <x v="1"/>
    <n v="2"/>
    <n v="1"/>
    <x v="12"/>
    <n v="9"/>
    <n v="7"/>
    <n v="16"/>
    <n v="0"/>
    <n v="1"/>
    <n v="1"/>
  </r>
  <r>
    <n v="8"/>
    <d v="2025-04-06T00:00:00"/>
    <x v="1"/>
    <n v="3"/>
    <n v="4"/>
    <x v="22"/>
    <n v="8"/>
    <n v="5"/>
    <n v="13"/>
    <n v="0"/>
    <n v="1"/>
    <n v="-1"/>
  </r>
  <r>
    <n v="8"/>
    <d v="2025-04-06T00:00:00"/>
    <x v="1"/>
    <n v="4"/>
    <n v="3"/>
    <x v="13"/>
    <n v="7"/>
    <n v="3"/>
    <n v="10"/>
    <n v="0"/>
    <n v="0"/>
    <n v="1"/>
  </r>
  <r>
    <n v="8"/>
    <d v="2025-04-06T00:00:00"/>
    <x v="1"/>
    <n v="5"/>
    <n v="6"/>
    <x v="24"/>
    <n v="6"/>
    <n v="1"/>
    <n v="7"/>
    <n v="0"/>
    <n v="0"/>
    <n v="-1"/>
  </r>
  <r>
    <n v="8"/>
    <d v="2025-04-06T00:00:00"/>
    <x v="1"/>
    <n v="6"/>
    <n v="11"/>
    <x v="30"/>
    <n v="5"/>
    <n v="0"/>
    <n v="5"/>
    <n v="0"/>
    <n v="0"/>
    <n v="-5"/>
  </r>
  <r>
    <n v="8"/>
    <d v="2025-04-06T00:00:00"/>
    <x v="1"/>
    <n v="7"/>
    <n v="7"/>
    <x v="25"/>
    <n v="4"/>
    <n v="0"/>
    <n v="4"/>
    <n v="0"/>
    <n v="0"/>
    <n v="0"/>
  </r>
  <r>
    <n v="8"/>
    <d v="2025-04-06T00:00:00"/>
    <x v="1"/>
    <n v="8"/>
    <n v="10"/>
    <x v="28"/>
    <n v="3"/>
    <n v="0"/>
    <n v="3"/>
    <n v="0"/>
    <n v="0"/>
    <n v="-2"/>
  </r>
  <r>
    <n v="8"/>
    <d v="2025-04-06T00:00:00"/>
    <x v="1"/>
    <n v="9"/>
    <n v="5"/>
    <x v="10"/>
    <n v="2"/>
    <n v="0"/>
    <n v="2"/>
    <n v="0"/>
    <n v="0"/>
    <n v="4"/>
  </r>
  <r>
    <n v="8"/>
    <d v="2025-04-06T00:00:00"/>
    <x v="1"/>
    <n v="10"/>
    <n v="11"/>
    <x v="31"/>
    <n v="1"/>
    <n v="0"/>
    <n v="1"/>
    <n v="0"/>
    <n v="0"/>
    <n v="-1"/>
  </r>
  <r>
    <n v="9"/>
    <d v="2025-04-20T00:00:00"/>
    <x v="0"/>
    <n v="1"/>
    <n v="2"/>
    <x v="8"/>
    <n v="10"/>
    <n v="9"/>
    <n v="19"/>
    <n v="1"/>
    <n v="1"/>
    <n v="-1"/>
  </r>
  <r>
    <n v="9"/>
    <d v="2025-04-20T00:00:00"/>
    <x v="0"/>
    <n v="2"/>
    <n v="1"/>
    <x v="3"/>
    <n v="9"/>
    <n v="7"/>
    <n v="16"/>
    <n v="0"/>
    <n v="1"/>
    <n v="1"/>
  </r>
  <r>
    <n v="9"/>
    <d v="2025-04-20T00:00:00"/>
    <x v="0"/>
    <n v="3"/>
    <n v="3"/>
    <x v="20"/>
    <n v="8"/>
    <n v="5"/>
    <n v="13"/>
    <n v="0"/>
    <n v="1"/>
    <n v="0"/>
  </r>
  <r>
    <n v="9"/>
    <d v="2025-04-20T00:00:00"/>
    <x v="0"/>
    <n v="4"/>
    <n v="6"/>
    <x v="21"/>
    <n v="7"/>
    <n v="3"/>
    <n v="10"/>
    <n v="0"/>
    <n v="0"/>
    <n v="-2"/>
  </r>
  <r>
    <n v="9"/>
    <d v="2025-04-20T00:00:00"/>
    <x v="0"/>
    <n v="5"/>
    <n v="4"/>
    <x v="5"/>
    <n v="6"/>
    <n v="1"/>
    <n v="7"/>
    <n v="0"/>
    <n v="0"/>
    <n v="1"/>
  </r>
  <r>
    <n v="9"/>
    <d v="2025-04-20T00:00:00"/>
    <x v="0"/>
    <n v="6"/>
    <n v="7"/>
    <x v="23"/>
    <n v="5"/>
    <n v="0"/>
    <n v="5"/>
    <n v="0"/>
    <n v="0"/>
    <n v="-1"/>
  </r>
  <r>
    <n v="9"/>
    <d v="2025-04-20T00:00:00"/>
    <x v="0"/>
    <n v="7"/>
    <n v="9"/>
    <x v="27"/>
    <n v="4"/>
    <n v="0"/>
    <n v="4"/>
    <n v="0"/>
    <n v="0"/>
    <n v="-2"/>
  </r>
  <r>
    <n v="9"/>
    <d v="2025-04-20T00:00:00"/>
    <x v="0"/>
    <n v="8"/>
    <n v="5"/>
    <x v="0"/>
    <n v="3"/>
    <n v="0"/>
    <n v="3"/>
    <n v="0"/>
    <n v="0"/>
    <n v="3"/>
  </r>
  <r>
    <n v="9"/>
    <d v="2025-04-20T00:00:00"/>
    <x v="0"/>
    <n v="9"/>
    <n v="8"/>
    <x v="26"/>
    <n v="2"/>
    <n v="0"/>
    <n v="2"/>
    <n v="0"/>
    <n v="0"/>
    <n v="1"/>
  </r>
  <r>
    <n v="9"/>
    <d v="2025-04-20T00:00:00"/>
    <x v="0"/>
    <n v="10"/>
    <n v="10"/>
    <x v="29"/>
    <n v="1"/>
    <n v="0"/>
    <n v="1"/>
    <n v="0"/>
    <n v="0"/>
    <n v="0"/>
  </r>
  <r>
    <n v="9"/>
    <d v="2025-04-20T00:00:00"/>
    <x v="1"/>
    <n v="1"/>
    <n v="1"/>
    <x v="18"/>
    <n v="10"/>
    <n v="9"/>
    <n v="19"/>
    <n v="1"/>
    <n v="1"/>
    <n v="0"/>
  </r>
  <r>
    <n v="9"/>
    <d v="2025-04-20T00:00:00"/>
    <x v="1"/>
    <n v="2"/>
    <n v="3"/>
    <x v="22"/>
    <n v="9"/>
    <n v="7"/>
    <n v="16"/>
    <n v="0"/>
    <n v="1"/>
    <n v="-1"/>
  </r>
  <r>
    <n v="9"/>
    <d v="2025-04-20T00:00:00"/>
    <x v="1"/>
    <n v="3"/>
    <n v="2"/>
    <x v="12"/>
    <n v="8"/>
    <n v="5"/>
    <n v="13"/>
    <n v="0"/>
    <n v="1"/>
    <n v="1"/>
  </r>
  <r>
    <n v="9"/>
    <d v="2025-04-20T00:00:00"/>
    <x v="1"/>
    <n v="4"/>
    <n v="5"/>
    <x v="24"/>
    <n v="7"/>
    <n v="3"/>
    <n v="10"/>
    <n v="0"/>
    <n v="0"/>
    <n v="-1"/>
  </r>
  <r>
    <n v="9"/>
    <d v="2025-04-20T00:00:00"/>
    <x v="1"/>
    <n v="5"/>
    <n v="6"/>
    <x v="30"/>
    <n v="6"/>
    <n v="1"/>
    <n v="7"/>
    <n v="0"/>
    <n v="0"/>
    <n v="-1"/>
  </r>
  <r>
    <n v="9"/>
    <d v="2025-04-20T00:00:00"/>
    <x v="1"/>
    <n v="6"/>
    <n v="7"/>
    <x v="25"/>
    <n v="5"/>
    <n v="0"/>
    <n v="5"/>
    <n v="0"/>
    <n v="0"/>
    <n v="-1"/>
  </r>
  <r>
    <n v="9"/>
    <d v="2025-04-20T00:00:00"/>
    <x v="1"/>
    <n v="7"/>
    <n v="4"/>
    <x v="13"/>
    <n v="4"/>
    <n v="0"/>
    <n v="4"/>
    <n v="0"/>
    <n v="0"/>
    <n v="3"/>
  </r>
  <r>
    <n v="9"/>
    <d v="2025-04-20T00:00:00"/>
    <x v="1"/>
    <n v="8"/>
    <n v="8"/>
    <x v="28"/>
    <n v="3"/>
    <n v="0"/>
    <n v="3"/>
    <n v="0"/>
    <n v="0"/>
    <n v="0"/>
  </r>
  <r>
    <n v="9"/>
    <d v="2025-04-20T00:00:00"/>
    <x v="1"/>
    <n v="9"/>
    <n v="10"/>
    <x v="31"/>
    <n v="2"/>
    <n v="0"/>
    <n v="2"/>
    <n v="0"/>
    <n v="0"/>
    <n v="-1"/>
  </r>
  <r>
    <n v="9"/>
    <d v="2025-04-20T00:00:00"/>
    <x v="1"/>
    <n v="10"/>
    <n v="11"/>
    <x v="32"/>
    <n v="1"/>
    <n v="0"/>
    <n v="1"/>
    <n v="0"/>
    <n v="0"/>
    <n v="-1"/>
  </r>
  <r>
    <n v="10"/>
    <d v="2025-05-04T00:00:00"/>
    <x v="0"/>
    <n v="1"/>
    <n v="1"/>
    <x v="8"/>
    <n v="10"/>
    <n v="9"/>
    <n v="19"/>
    <n v="1"/>
    <n v="1"/>
    <n v="0"/>
  </r>
  <r>
    <n v="10"/>
    <d v="2025-05-04T00:00:00"/>
    <x v="0"/>
    <n v="2"/>
    <n v="3"/>
    <x v="20"/>
    <n v="9"/>
    <n v="7"/>
    <n v="16"/>
    <n v="0"/>
    <n v="1"/>
    <n v="-1"/>
  </r>
  <r>
    <n v="10"/>
    <d v="2025-05-04T00:00:00"/>
    <x v="0"/>
    <n v="3"/>
    <n v="2"/>
    <x v="3"/>
    <n v="8"/>
    <n v="5"/>
    <n v="13"/>
    <n v="0"/>
    <n v="1"/>
    <n v="1"/>
  </r>
  <r>
    <n v="10"/>
    <d v="2025-05-04T00:00:00"/>
    <x v="0"/>
    <n v="4"/>
    <n v="4"/>
    <x v="21"/>
    <n v="7"/>
    <n v="3"/>
    <n v="10"/>
    <n v="0"/>
    <n v="0"/>
    <n v="0"/>
  </r>
  <r>
    <n v="10"/>
    <d v="2025-05-04T00:00:00"/>
    <x v="0"/>
    <n v="5"/>
    <n v="6"/>
    <x v="23"/>
    <n v="6"/>
    <n v="1"/>
    <n v="7"/>
    <n v="0"/>
    <n v="0"/>
    <n v="-1"/>
  </r>
  <r>
    <n v="10"/>
    <d v="2025-05-04T00:00:00"/>
    <x v="0"/>
    <n v="6"/>
    <n v="7"/>
    <x v="27"/>
    <n v="5"/>
    <n v="0"/>
    <n v="5"/>
    <n v="0"/>
    <n v="0"/>
    <n v="-1"/>
  </r>
  <r>
    <n v="10"/>
    <d v="2025-05-04T00:00:00"/>
    <x v="0"/>
    <n v="7"/>
    <n v="9"/>
    <x v="26"/>
    <n v="4"/>
    <n v="0"/>
    <n v="4"/>
    <n v="0"/>
    <n v="0"/>
    <n v="-2"/>
  </r>
  <r>
    <n v="10"/>
    <d v="2025-05-04T00:00:00"/>
    <x v="0"/>
    <n v="8"/>
    <n v="5"/>
    <x v="5"/>
    <n v="3"/>
    <n v="0"/>
    <n v="3"/>
    <n v="0"/>
    <n v="0"/>
    <n v="3"/>
  </r>
  <r>
    <n v="10"/>
    <d v="2025-05-04T00:00:00"/>
    <x v="0"/>
    <n v="9"/>
    <n v="10"/>
    <x v="29"/>
    <n v="2"/>
    <n v="0"/>
    <n v="2"/>
    <n v="0"/>
    <n v="0"/>
    <n v="-1"/>
  </r>
  <r>
    <n v="10"/>
    <d v="2025-05-04T00:00:00"/>
    <x v="0"/>
    <n v="10"/>
    <n v="8"/>
    <x v="0"/>
    <n v="1"/>
    <n v="0"/>
    <n v="1"/>
    <n v="0"/>
    <n v="0"/>
    <n v="2"/>
  </r>
  <r>
    <n v="10"/>
    <d v="2025-05-04T00:00:00"/>
    <x v="1"/>
    <n v="1"/>
    <n v="1"/>
    <x v="18"/>
    <n v="10"/>
    <n v="9"/>
    <n v="19"/>
    <n v="1"/>
    <n v="1"/>
    <n v="0"/>
  </r>
  <r>
    <n v="10"/>
    <d v="2025-05-04T00:00:00"/>
    <x v="1"/>
    <n v="2"/>
    <n v="2"/>
    <x v="22"/>
    <n v="9"/>
    <n v="7"/>
    <n v="16"/>
    <n v="0"/>
    <n v="1"/>
    <n v="0"/>
  </r>
  <r>
    <n v="10"/>
    <d v="2025-05-04T00:00:00"/>
    <x v="1"/>
    <n v="3"/>
    <n v="5"/>
    <x v="30"/>
    <n v="8"/>
    <n v="5"/>
    <n v="13"/>
    <n v="0"/>
    <n v="1"/>
    <n v="-2"/>
  </r>
  <r>
    <n v="10"/>
    <d v="2025-05-04T00:00:00"/>
    <x v="1"/>
    <n v="4"/>
    <n v="4"/>
    <x v="24"/>
    <n v="7"/>
    <n v="3"/>
    <n v="10"/>
    <n v="0"/>
    <n v="0"/>
    <n v="0"/>
  </r>
  <r>
    <n v="10"/>
    <d v="2025-05-04T00:00:00"/>
    <x v="1"/>
    <n v="5"/>
    <n v="3"/>
    <x v="12"/>
    <n v="6"/>
    <n v="1"/>
    <n v="7"/>
    <n v="0"/>
    <n v="0"/>
    <n v="2"/>
  </r>
  <r>
    <n v="10"/>
    <d v="2025-05-04T00:00:00"/>
    <x v="1"/>
    <n v="6"/>
    <n v="6"/>
    <x v="25"/>
    <n v="5"/>
    <n v="0"/>
    <n v="5"/>
    <n v="0"/>
    <n v="0"/>
    <n v="0"/>
  </r>
  <r>
    <n v="10"/>
    <d v="2025-05-04T00:00:00"/>
    <x v="1"/>
    <n v="7"/>
    <n v="8"/>
    <x v="28"/>
    <n v="4"/>
    <n v="0"/>
    <n v="4"/>
    <n v="0"/>
    <n v="0"/>
    <n v="-1"/>
  </r>
  <r>
    <n v="10"/>
    <d v="2025-05-04T00:00:00"/>
    <x v="1"/>
    <n v="8"/>
    <n v="10"/>
    <x v="32"/>
    <n v="3"/>
    <n v="0"/>
    <n v="3"/>
    <n v="0"/>
    <n v="0"/>
    <n v="-2"/>
  </r>
  <r>
    <n v="10"/>
    <d v="2025-05-04T00:00:00"/>
    <x v="1"/>
    <n v="9"/>
    <n v="9"/>
    <x v="31"/>
    <n v="2"/>
    <n v="0"/>
    <n v="2"/>
    <n v="0"/>
    <n v="0"/>
    <n v="0"/>
  </r>
  <r>
    <n v="10"/>
    <d v="2025-05-04T00:00:00"/>
    <x v="1"/>
    <n v="10"/>
    <n v="11"/>
    <x v="33"/>
    <n v="1"/>
    <n v="0"/>
    <n v="1"/>
    <n v="0"/>
    <n v="0"/>
    <n v="-1"/>
  </r>
  <r>
    <n v="11"/>
    <d v="2025-05-18T00:00:00"/>
    <x v="0"/>
    <n v="1"/>
    <n v="1"/>
    <x v="8"/>
    <n v="10"/>
    <n v="9"/>
    <n v="19"/>
    <n v="1"/>
    <n v="1"/>
    <n v="0"/>
  </r>
  <r>
    <n v="11"/>
    <d v="2025-05-18T00:00:00"/>
    <x v="0"/>
    <n v="2"/>
    <n v="2"/>
    <x v="20"/>
    <n v="9"/>
    <n v="7"/>
    <n v="16"/>
    <n v="0"/>
    <n v="1"/>
    <n v="0"/>
  </r>
  <r>
    <n v="11"/>
    <d v="2025-05-18T00:00:00"/>
    <x v="0"/>
    <n v="3"/>
    <n v="4"/>
    <x v="21"/>
    <n v="8"/>
    <n v="5"/>
    <n v="13"/>
    <n v="0"/>
    <n v="1"/>
    <n v="-1"/>
  </r>
  <r>
    <n v="11"/>
    <d v="2025-05-18T00:00:00"/>
    <x v="0"/>
    <n v="4"/>
    <n v="5"/>
    <x v="23"/>
    <n v="7"/>
    <n v="3"/>
    <n v="10"/>
    <n v="0"/>
    <n v="0"/>
    <n v="-1"/>
  </r>
  <r>
    <n v="11"/>
    <d v="2025-05-18T00:00:00"/>
    <x v="0"/>
    <n v="5"/>
    <n v="6"/>
    <x v="27"/>
    <n v="6"/>
    <n v="1"/>
    <n v="7"/>
    <n v="0"/>
    <n v="0"/>
    <n v="-1"/>
  </r>
  <r>
    <n v="11"/>
    <d v="2025-05-18T00:00:00"/>
    <x v="0"/>
    <n v="6"/>
    <n v="7"/>
    <x v="26"/>
    <n v="5"/>
    <n v="0"/>
    <n v="5"/>
    <n v="0"/>
    <n v="0"/>
    <n v="-1"/>
  </r>
  <r>
    <n v="11"/>
    <d v="2025-05-18T00:00:00"/>
    <x v="0"/>
    <n v="7"/>
    <n v="3"/>
    <x v="3"/>
    <n v="4"/>
    <n v="0"/>
    <n v="4"/>
    <n v="0"/>
    <n v="0"/>
    <n v="4"/>
  </r>
  <r>
    <n v="11"/>
    <d v="2025-05-18T00:00:00"/>
    <x v="0"/>
    <n v="8"/>
    <n v="9"/>
    <x v="29"/>
    <n v="3"/>
    <n v="0"/>
    <n v="3"/>
    <n v="0"/>
    <n v="0"/>
    <n v="-1"/>
  </r>
  <r>
    <n v="11"/>
    <d v="2025-05-18T00:00:00"/>
    <x v="0"/>
    <n v="9"/>
    <n v="11"/>
    <x v="34"/>
    <n v="2"/>
    <n v="0"/>
    <n v="2"/>
    <n v="0"/>
    <n v="0"/>
    <n v="-2"/>
  </r>
  <r>
    <n v="11"/>
    <d v="2025-05-18T00:00:00"/>
    <x v="0"/>
    <n v="10"/>
    <n v="11"/>
    <x v="35"/>
    <n v="1"/>
    <n v="0"/>
    <n v="1"/>
    <n v="0"/>
    <n v="0"/>
    <n v="-1"/>
  </r>
  <r>
    <n v="11"/>
    <d v="2025-05-18T00:00:00"/>
    <x v="1"/>
    <n v="1"/>
    <n v="2"/>
    <x v="22"/>
    <n v="10"/>
    <n v="9"/>
    <n v="19"/>
    <n v="1"/>
    <n v="1"/>
    <n v="-1"/>
  </r>
  <r>
    <n v="11"/>
    <d v="2025-05-18T00:00:00"/>
    <x v="1"/>
    <n v="2"/>
    <n v="3"/>
    <x v="30"/>
    <n v="9"/>
    <n v="7"/>
    <n v="16"/>
    <n v="0"/>
    <n v="1"/>
    <n v="-1"/>
  </r>
  <r>
    <n v="11"/>
    <d v="2025-05-18T00:00:00"/>
    <x v="1"/>
    <n v="3"/>
    <n v="1"/>
    <x v="18"/>
    <n v="8"/>
    <n v="5"/>
    <n v="13"/>
    <n v="0"/>
    <n v="1"/>
    <n v="2"/>
  </r>
  <r>
    <n v="11"/>
    <d v="2025-05-18T00:00:00"/>
    <x v="1"/>
    <n v="4"/>
    <n v="6"/>
    <x v="25"/>
    <n v="7"/>
    <n v="3"/>
    <n v="10"/>
    <n v="0"/>
    <n v="0"/>
    <n v="-2"/>
  </r>
  <r>
    <n v="11"/>
    <d v="2025-05-18T00:00:00"/>
    <x v="1"/>
    <n v="5"/>
    <n v="4"/>
    <x v="24"/>
    <n v="6"/>
    <n v="1"/>
    <n v="7"/>
    <n v="0"/>
    <n v="0"/>
    <n v="1"/>
  </r>
  <r>
    <n v="11"/>
    <d v="2025-05-18T00:00:00"/>
    <x v="1"/>
    <n v="6"/>
    <n v="7"/>
    <x v="28"/>
    <n v="5"/>
    <n v="0"/>
    <n v="5"/>
    <n v="0"/>
    <n v="0"/>
    <n v="-1"/>
  </r>
  <r>
    <n v="11"/>
    <d v="2025-05-18T00:00:00"/>
    <x v="1"/>
    <n v="7"/>
    <n v="8"/>
    <x v="32"/>
    <n v="4"/>
    <n v="0"/>
    <n v="4"/>
    <n v="0"/>
    <n v="0"/>
    <n v="-1"/>
  </r>
  <r>
    <n v="11"/>
    <d v="2025-05-18T00:00:00"/>
    <x v="1"/>
    <n v="8"/>
    <n v="9"/>
    <x v="31"/>
    <n v="3"/>
    <n v="0"/>
    <n v="3"/>
    <n v="0"/>
    <n v="0"/>
    <n v="-1"/>
  </r>
  <r>
    <n v="11"/>
    <d v="2025-05-18T00:00:00"/>
    <x v="1"/>
    <n v="9"/>
    <n v="10"/>
    <x v="33"/>
    <n v="2"/>
    <n v="0"/>
    <n v="2"/>
    <n v="0"/>
    <n v="0"/>
    <n v="-1"/>
  </r>
  <r>
    <n v="11"/>
    <d v="2025-05-18T00:00:00"/>
    <x v="1"/>
    <n v="10"/>
    <n v="5"/>
    <x v="12"/>
    <n v="1"/>
    <n v="0"/>
    <n v="1"/>
    <n v="0"/>
    <n v="0"/>
    <n v="5"/>
  </r>
  <r>
    <n v="12"/>
    <d v="2025-06-01T00:00:00"/>
    <x v="0"/>
    <n v="1"/>
    <n v="2"/>
    <x v="20"/>
    <n v="10"/>
    <n v="9"/>
    <n v="19"/>
    <n v="1"/>
    <n v="1"/>
    <n v="-1"/>
  </r>
  <r>
    <n v="12"/>
    <d v="2025-06-01T00:00:00"/>
    <x v="0"/>
    <n v="2"/>
    <n v="1"/>
    <x v="8"/>
    <n v="9"/>
    <n v="7"/>
    <n v="16"/>
    <n v="0"/>
    <n v="1"/>
    <n v="1"/>
  </r>
  <r>
    <n v="12"/>
    <d v="2025-06-01T00:00:00"/>
    <x v="0"/>
    <n v="3"/>
    <n v="5"/>
    <x v="27"/>
    <n v="8"/>
    <n v="5"/>
    <n v="13"/>
    <n v="0"/>
    <n v="1"/>
    <n v="-2"/>
  </r>
  <r>
    <n v="12"/>
    <d v="2025-06-01T00:00:00"/>
    <x v="0"/>
    <n v="4"/>
    <n v="3"/>
    <x v="21"/>
    <n v="7"/>
    <n v="3"/>
    <n v="10"/>
    <n v="0"/>
    <n v="0"/>
    <n v="1"/>
  </r>
  <r>
    <n v="12"/>
    <d v="2025-06-01T00:00:00"/>
    <x v="0"/>
    <n v="5"/>
    <n v="4"/>
    <x v="23"/>
    <n v="6"/>
    <n v="1"/>
    <n v="7"/>
    <n v="0"/>
    <n v="0"/>
    <n v="1"/>
  </r>
  <r>
    <n v="12"/>
    <d v="2025-06-01T00:00:00"/>
    <x v="0"/>
    <n v="6"/>
    <n v="6"/>
    <x v="26"/>
    <n v="5"/>
    <n v="0"/>
    <n v="5"/>
    <n v="0"/>
    <n v="0"/>
    <n v="0"/>
  </r>
  <r>
    <n v="12"/>
    <d v="2025-06-01T00:00:00"/>
    <x v="0"/>
    <n v="7"/>
    <n v="8"/>
    <x v="29"/>
    <n v="4"/>
    <n v="0"/>
    <n v="4"/>
    <n v="0"/>
    <n v="0"/>
    <n v="-1"/>
  </r>
  <r>
    <n v="12"/>
    <d v="2025-06-01T00:00:00"/>
    <x v="0"/>
    <n v="8"/>
    <n v="9"/>
    <x v="34"/>
    <n v="3"/>
    <n v="0"/>
    <n v="3"/>
    <n v="0"/>
    <n v="0"/>
    <n v="-1"/>
  </r>
  <r>
    <n v="12"/>
    <d v="2025-06-01T00:00:00"/>
    <x v="0"/>
    <n v="9"/>
    <n v="10"/>
    <x v="35"/>
    <n v="2"/>
    <n v="0"/>
    <n v="2"/>
    <n v="0"/>
    <n v="0"/>
    <n v="-1"/>
  </r>
  <r>
    <n v="12"/>
    <d v="2025-06-01T00:00:00"/>
    <x v="0"/>
    <n v="10"/>
    <n v="7"/>
    <x v="3"/>
    <n v="1"/>
    <n v="0"/>
    <n v="1"/>
    <n v="0"/>
    <n v="0"/>
    <n v="3"/>
  </r>
  <r>
    <n v="12"/>
    <d v="2025-06-01T00:00:00"/>
    <x v="1"/>
    <n v="1"/>
    <n v="1"/>
    <x v="22"/>
    <n v="10"/>
    <n v="9"/>
    <n v="19"/>
    <n v="1"/>
    <n v="1"/>
    <n v="0"/>
  </r>
  <r>
    <n v="12"/>
    <d v="2025-06-01T00:00:00"/>
    <x v="1"/>
    <n v="2"/>
    <n v="2"/>
    <x v="30"/>
    <n v="9"/>
    <n v="7"/>
    <n v="16"/>
    <n v="0"/>
    <n v="1"/>
    <n v="0"/>
  </r>
  <r>
    <n v="12"/>
    <d v="2025-06-01T00:00:00"/>
    <x v="1"/>
    <n v="3"/>
    <n v="4"/>
    <x v="25"/>
    <n v="8"/>
    <n v="5"/>
    <n v="13"/>
    <n v="0"/>
    <n v="1"/>
    <n v="-1"/>
  </r>
  <r>
    <n v="12"/>
    <d v="2025-06-01T00:00:00"/>
    <x v="1"/>
    <n v="4"/>
    <n v="3"/>
    <x v="18"/>
    <n v="7"/>
    <n v="3"/>
    <n v="10"/>
    <n v="0"/>
    <n v="0"/>
    <n v="1"/>
  </r>
  <r>
    <n v="12"/>
    <d v="2025-06-01T00:00:00"/>
    <x v="1"/>
    <n v="5"/>
    <n v="6"/>
    <x v="28"/>
    <n v="6"/>
    <n v="1"/>
    <n v="7"/>
    <n v="0"/>
    <n v="0"/>
    <n v="-1"/>
  </r>
  <r>
    <n v="12"/>
    <d v="2025-06-01T00:00:00"/>
    <x v="1"/>
    <n v="6"/>
    <n v="5"/>
    <x v="24"/>
    <n v="5"/>
    <n v="0"/>
    <n v="5"/>
    <n v="0"/>
    <n v="0"/>
    <n v="1"/>
  </r>
  <r>
    <n v="12"/>
    <d v="2025-06-01T00:00:00"/>
    <x v="1"/>
    <n v="7"/>
    <n v="8"/>
    <x v="31"/>
    <n v="4"/>
    <n v="0"/>
    <n v="4"/>
    <n v="0"/>
    <n v="0"/>
    <n v="-1"/>
  </r>
  <r>
    <n v="12"/>
    <d v="2025-06-01T00:00:00"/>
    <x v="1"/>
    <n v="8"/>
    <n v="9"/>
    <x v="33"/>
    <n v="3"/>
    <n v="0"/>
    <n v="3"/>
    <n v="0"/>
    <n v="0"/>
    <n v="-1"/>
  </r>
  <r>
    <n v="12"/>
    <d v="2025-06-01T00:00:00"/>
    <x v="1"/>
    <n v="9"/>
    <n v="7"/>
    <x v="32"/>
    <n v="2"/>
    <n v="0"/>
    <n v="2"/>
    <n v="0"/>
    <n v="0"/>
    <n v="2"/>
  </r>
  <r>
    <n v="12"/>
    <d v="2025-06-01T00:00:00"/>
    <x v="1"/>
    <n v="10"/>
    <n v="11"/>
    <x v="36"/>
    <n v="1"/>
    <n v="0"/>
    <n v="1"/>
    <n v="0"/>
    <n v="0"/>
    <n v="-1"/>
  </r>
  <r>
    <n v="13"/>
    <d v="2025-06-15T00:00:00"/>
    <x v="0"/>
    <n v="1"/>
    <n v="1"/>
    <x v="20"/>
    <n v="10"/>
    <n v="9"/>
    <n v="19"/>
    <n v="1"/>
    <n v="1"/>
    <n v="0"/>
  </r>
  <r>
    <n v="13"/>
    <d v="2025-06-15T00:00:00"/>
    <x v="0"/>
    <n v="2"/>
    <n v="3"/>
    <x v="27"/>
    <n v="9"/>
    <n v="7"/>
    <n v="16"/>
    <n v="0"/>
    <n v="1"/>
    <n v="-1"/>
  </r>
  <r>
    <n v="13"/>
    <d v="2025-06-15T00:00:00"/>
    <x v="0"/>
    <n v="3"/>
    <n v="5"/>
    <x v="23"/>
    <n v="8"/>
    <n v="5"/>
    <n v="13"/>
    <n v="0"/>
    <n v="1"/>
    <n v="-2"/>
  </r>
  <r>
    <n v="13"/>
    <d v="2025-06-15T00:00:00"/>
    <x v="0"/>
    <n v="4"/>
    <n v="4"/>
    <x v="21"/>
    <n v="7"/>
    <n v="3"/>
    <n v="10"/>
    <n v="0"/>
    <n v="0"/>
    <n v="0"/>
  </r>
  <r>
    <n v="13"/>
    <d v="2025-06-15T00:00:00"/>
    <x v="0"/>
    <n v="5"/>
    <n v="6"/>
    <x v="26"/>
    <n v="6"/>
    <n v="1"/>
    <n v="7"/>
    <n v="0"/>
    <n v="0"/>
    <n v="-1"/>
  </r>
  <r>
    <n v="13"/>
    <d v="2025-06-15T00:00:00"/>
    <x v="0"/>
    <n v="6"/>
    <n v="2"/>
    <x v="8"/>
    <n v="5"/>
    <n v="0"/>
    <n v="5"/>
    <n v="0"/>
    <n v="0"/>
    <n v="4"/>
  </r>
  <r>
    <n v="13"/>
    <d v="2025-06-15T00:00:00"/>
    <x v="0"/>
    <n v="7"/>
    <n v="8"/>
    <x v="34"/>
    <n v="4"/>
    <n v="0"/>
    <n v="4"/>
    <n v="0"/>
    <n v="0"/>
    <n v="-1"/>
  </r>
  <r>
    <n v="13"/>
    <d v="2025-06-15T00:00:00"/>
    <x v="0"/>
    <n v="8"/>
    <n v="9"/>
    <x v="35"/>
    <n v="3"/>
    <n v="0"/>
    <n v="3"/>
    <n v="0"/>
    <n v="0"/>
    <n v="-1"/>
  </r>
  <r>
    <n v="13"/>
    <d v="2025-06-15T00:00:00"/>
    <x v="0"/>
    <n v="9"/>
    <n v="7"/>
    <x v="29"/>
    <n v="2"/>
    <n v="0"/>
    <n v="2"/>
    <n v="0"/>
    <n v="0"/>
    <n v="2"/>
  </r>
  <r>
    <n v="13"/>
    <d v="2025-06-15T00:00:00"/>
    <x v="0"/>
    <n v="10"/>
    <n v="11"/>
    <x v="37"/>
    <n v="1"/>
    <n v="0"/>
    <n v="1"/>
    <n v="0"/>
    <n v="0"/>
    <n v="-1"/>
  </r>
  <r>
    <n v="13"/>
    <d v="2025-06-15T00:00:00"/>
    <x v="1"/>
    <n v="1"/>
    <n v="1"/>
    <x v="22"/>
    <n v="10"/>
    <n v="9"/>
    <n v="19"/>
    <n v="1"/>
    <n v="1"/>
    <n v="0"/>
  </r>
  <r>
    <n v="13"/>
    <d v="2025-06-15T00:00:00"/>
    <x v="1"/>
    <n v="2"/>
    <n v="2"/>
    <x v="30"/>
    <n v="9"/>
    <n v="7"/>
    <n v="16"/>
    <n v="0"/>
    <n v="1"/>
    <n v="0"/>
  </r>
  <r>
    <n v="13"/>
    <d v="2025-06-15T00:00:00"/>
    <x v="1"/>
    <n v="3"/>
    <n v="3"/>
    <x v="25"/>
    <n v="8"/>
    <n v="5"/>
    <n v="13"/>
    <n v="0"/>
    <n v="1"/>
    <n v="0"/>
  </r>
  <r>
    <n v="13"/>
    <d v="2025-06-15T00:00:00"/>
    <x v="1"/>
    <n v="4"/>
    <n v="5"/>
    <x v="28"/>
    <n v="7"/>
    <n v="3"/>
    <n v="10"/>
    <n v="0"/>
    <n v="0"/>
    <n v="-1"/>
  </r>
  <r>
    <n v="13"/>
    <d v="2025-06-15T00:00:00"/>
    <x v="1"/>
    <n v="5"/>
    <n v="7"/>
    <x v="31"/>
    <n v="6"/>
    <n v="1"/>
    <n v="7"/>
    <n v="0"/>
    <n v="0"/>
    <n v="-2"/>
  </r>
  <r>
    <n v="13"/>
    <d v="2025-06-15T00:00:00"/>
    <x v="1"/>
    <n v="6"/>
    <n v="8"/>
    <x v="33"/>
    <n v="5"/>
    <n v="0"/>
    <n v="5"/>
    <n v="0"/>
    <n v="0"/>
    <n v="-2"/>
  </r>
  <r>
    <n v="13"/>
    <d v="2025-06-15T00:00:00"/>
    <x v="1"/>
    <n v="7"/>
    <n v="4"/>
    <x v="18"/>
    <n v="4"/>
    <n v="0"/>
    <n v="4"/>
    <n v="0"/>
    <n v="0"/>
    <n v="3"/>
  </r>
  <r>
    <n v="13"/>
    <d v="2025-06-15T00:00:00"/>
    <x v="1"/>
    <n v="8"/>
    <n v="10"/>
    <x v="36"/>
    <n v="3"/>
    <n v="0"/>
    <n v="3"/>
    <n v="0"/>
    <n v="0"/>
    <n v="-2"/>
  </r>
  <r>
    <n v="13"/>
    <d v="2025-06-15T00:00:00"/>
    <x v="1"/>
    <n v="9"/>
    <n v="6"/>
    <x v="24"/>
    <n v="2"/>
    <n v="0"/>
    <n v="2"/>
    <n v="0"/>
    <n v="0"/>
    <n v="3"/>
  </r>
  <r>
    <n v="13"/>
    <d v="2025-06-15T00:00:00"/>
    <x v="1"/>
    <n v="10"/>
    <n v="9"/>
    <x v="32"/>
    <n v="1"/>
    <n v="0"/>
    <n v="1"/>
    <n v="0"/>
    <n v="0"/>
    <n v="1"/>
  </r>
  <r>
    <n v="14"/>
    <d v="2025-06-29T00:00:00"/>
    <x v="0"/>
    <n v="1"/>
    <n v="2"/>
    <x v="27"/>
    <n v="10"/>
    <n v="9"/>
    <n v="19"/>
    <n v="1"/>
    <n v="1"/>
    <n v="-1"/>
  </r>
  <r>
    <n v="14"/>
    <d v="2025-06-29T00:00:00"/>
    <x v="0"/>
    <n v="2"/>
    <n v="1"/>
    <x v="20"/>
    <n v="9"/>
    <n v="7"/>
    <n v="16"/>
    <n v="0"/>
    <n v="1"/>
    <n v="1"/>
  </r>
  <r>
    <n v="14"/>
    <d v="2025-06-29T00:00:00"/>
    <x v="0"/>
    <n v="3"/>
    <n v="3"/>
    <x v="23"/>
    <n v="8"/>
    <n v="5"/>
    <n v="13"/>
    <n v="0"/>
    <n v="1"/>
    <n v="0"/>
  </r>
  <r>
    <n v="14"/>
    <d v="2025-06-29T00:00:00"/>
    <x v="0"/>
    <n v="4"/>
    <n v="5"/>
    <x v="26"/>
    <n v="7"/>
    <n v="3"/>
    <n v="10"/>
    <n v="0"/>
    <n v="0"/>
    <n v="-1"/>
  </r>
  <r>
    <n v="14"/>
    <d v="2025-06-29T00:00:00"/>
    <x v="0"/>
    <n v="5"/>
    <n v="7"/>
    <x v="34"/>
    <n v="6"/>
    <n v="1"/>
    <n v="7"/>
    <n v="0"/>
    <n v="0"/>
    <n v="-2"/>
  </r>
  <r>
    <n v="14"/>
    <d v="2025-06-29T00:00:00"/>
    <x v="0"/>
    <n v="6"/>
    <n v="8"/>
    <x v="35"/>
    <n v="5"/>
    <n v="0"/>
    <n v="5"/>
    <n v="0"/>
    <n v="0"/>
    <n v="-2"/>
  </r>
  <r>
    <n v="14"/>
    <d v="2025-06-29T00:00:00"/>
    <x v="0"/>
    <n v="7"/>
    <n v="4"/>
    <x v="21"/>
    <n v="4"/>
    <n v="0"/>
    <n v="4"/>
    <n v="0"/>
    <n v="0"/>
    <n v="3"/>
  </r>
  <r>
    <n v="14"/>
    <d v="2025-06-29T00:00:00"/>
    <x v="0"/>
    <n v="8"/>
    <n v="10"/>
    <x v="37"/>
    <n v="3"/>
    <n v="0"/>
    <n v="3"/>
    <n v="0"/>
    <n v="0"/>
    <n v="-2"/>
  </r>
  <r>
    <n v="14"/>
    <d v="2025-06-29T00:00:00"/>
    <x v="0"/>
    <n v="9"/>
    <n v="9"/>
    <x v="29"/>
    <n v="2"/>
    <n v="0"/>
    <n v="2"/>
    <n v="0"/>
    <n v="0"/>
    <n v="0"/>
  </r>
  <r>
    <n v="14"/>
    <d v="2025-06-29T00:00:00"/>
    <x v="0"/>
    <n v="10"/>
    <n v="11"/>
    <x v="38"/>
    <n v="1"/>
    <n v="0"/>
    <n v="1"/>
    <n v="0"/>
    <n v="0"/>
    <n v="-1"/>
  </r>
  <r>
    <n v="14"/>
    <d v="2025-06-29T00:00:00"/>
    <x v="1"/>
    <n v="1"/>
    <n v="2"/>
    <x v="30"/>
    <n v="10"/>
    <n v="9"/>
    <n v="19"/>
    <n v="1"/>
    <n v="1"/>
    <n v="-1"/>
  </r>
  <r>
    <n v="14"/>
    <d v="2025-06-29T00:00:00"/>
    <x v="1"/>
    <n v="2"/>
    <n v="1"/>
    <x v="22"/>
    <n v="9"/>
    <n v="7"/>
    <n v="16"/>
    <n v="0"/>
    <n v="1"/>
    <n v="1"/>
  </r>
  <r>
    <n v="14"/>
    <d v="2025-06-29T00:00:00"/>
    <x v="1"/>
    <n v="3"/>
    <n v="4"/>
    <x v="28"/>
    <n v="8"/>
    <n v="5"/>
    <n v="13"/>
    <n v="0"/>
    <n v="1"/>
    <n v="-1"/>
  </r>
  <r>
    <n v="14"/>
    <d v="2025-06-29T00:00:00"/>
    <x v="1"/>
    <n v="4"/>
    <n v="3"/>
    <x v="25"/>
    <n v="7"/>
    <n v="3"/>
    <n v="10"/>
    <n v="0"/>
    <n v="0"/>
    <n v="1"/>
  </r>
  <r>
    <n v="14"/>
    <d v="2025-06-29T00:00:00"/>
    <x v="1"/>
    <n v="5"/>
    <n v="5"/>
    <x v="31"/>
    <n v="6"/>
    <n v="1"/>
    <n v="7"/>
    <n v="0"/>
    <n v="0"/>
    <n v="0"/>
  </r>
  <r>
    <n v="14"/>
    <d v="2025-06-29T00:00:00"/>
    <x v="1"/>
    <n v="6"/>
    <n v="6"/>
    <x v="33"/>
    <n v="5"/>
    <n v="0"/>
    <n v="5"/>
    <n v="0"/>
    <n v="0"/>
    <n v="0"/>
  </r>
  <r>
    <n v="14"/>
    <d v="2025-06-29T00:00:00"/>
    <x v="1"/>
    <n v="7"/>
    <n v="8"/>
    <x v="36"/>
    <n v="4"/>
    <n v="0"/>
    <n v="4"/>
    <n v="0"/>
    <n v="0"/>
    <n v="-1"/>
  </r>
  <r>
    <n v="14"/>
    <d v="2025-06-29T00:00:00"/>
    <x v="1"/>
    <n v="8"/>
    <n v="11"/>
    <x v="39"/>
    <n v="3"/>
    <n v="0"/>
    <n v="3"/>
    <n v="0"/>
    <n v="0"/>
    <n v="-3"/>
  </r>
  <r>
    <n v="14"/>
    <d v="2025-06-29T00:00:00"/>
    <x v="1"/>
    <n v="9"/>
    <n v="7"/>
    <x v="18"/>
    <n v="2"/>
    <n v="0"/>
    <n v="2"/>
    <n v="0"/>
    <n v="0"/>
    <n v="2"/>
  </r>
  <r>
    <n v="14"/>
    <d v="2025-06-29T00:00:00"/>
    <x v="1"/>
    <n v="10"/>
    <n v="11"/>
    <x v="40"/>
    <n v="1"/>
    <n v="0"/>
    <n v="1"/>
    <n v="0"/>
    <n v="0"/>
    <n v="-1"/>
  </r>
  <r>
    <n v="15"/>
    <d v="2025-07-13T00:00:00"/>
    <x v="0"/>
    <n v="1"/>
    <n v="1"/>
    <x v="27"/>
    <n v="10"/>
    <n v="9"/>
    <n v="19"/>
    <n v="1"/>
    <n v="1"/>
    <n v="0"/>
  </r>
  <r>
    <n v="15"/>
    <d v="2025-07-13T00:00:00"/>
    <x v="0"/>
    <n v="2"/>
    <n v="3"/>
    <x v="23"/>
    <n v="9"/>
    <n v="7"/>
    <n v="16"/>
    <n v="0"/>
    <n v="1"/>
    <n v="-1"/>
  </r>
  <r>
    <n v="15"/>
    <d v="2025-07-13T00:00:00"/>
    <x v="0"/>
    <n v="3"/>
    <n v="4"/>
    <x v="26"/>
    <n v="8"/>
    <n v="5"/>
    <n v="13"/>
    <n v="0"/>
    <n v="1"/>
    <n v="-1"/>
  </r>
  <r>
    <n v="15"/>
    <d v="2025-07-13T00:00:00"/>
    <x v="0"/>
    <n v="4"/>
    <n v="5"/>
    <x v="34"/>
    <n v="7"/>
    <n v="3"/>
    <n v="10"/>
    <n v="0"/>
    <n v="0"/>
    <n v="-1"/>
  </r>
  <r>
    <n v="15"/>
    <d v="2025-07-13T00:00:00"/>
    <x v="0"/>
    <n v="5"/>
    <n v="2"/>
    <x v="20"/>
    <n v="6"/>
    <n v="1"/>
    <n v="7"/>
    <n v="0"/>
    <n v="0"/>
    <n v="3"/>
  </r>
  <r>
    <n v="15"/>
    <d v="2025-07-13T00:00:00"/>
    <x v="0"/>
    <n v="6"/>
    <n v="6"/>
    <x v="35"/>
    <n v="5"/>
    <n v="0"/>
    <n v="5"/>
    <n v="0"/>
    <n v="0"/>
    <n v="0"/>
  </r>
  <r>
    <n v="15"/>
    <d v="2025-07-13T00:00:00"/>
    <x v="0"/>
    <n v="7"/>
    <n v="10"/>
    <x v="38"/>
    <n v="4"/>
    <n v="0"/>
    <n v="4"/>
    <n v="0"/>
    <n v="0"/>
    <n v="-3"/>
  </r>
  <r>
    <n v="15"/>
    <d v="2025-07-13T00:00:00"/>
    <x v="0"/>
    <n v="8"/>
    <n v="8"/>
    <x v="37"/>
    <n v="3"/>
    <n v="0"/>
    <n v="3"/>
    <n v="0"/>
    <n v="0"/>
    <n v="0"/>
  </r>
  <r>
    <n v="15"/>
    <d v="2025-07-13T00:00:00"/>
    <x v="0"/>
    <n v="9"/>
    <n v="7"/>
    <x v="21"/>
    <n v="2"/>
    <n v="0"/>
    <n v="2"/>
    <n v="0"/>
    <n v="0"/>
    <n v="2"/>
  </r>
  <r>
    <n v="15"/>
    <d v="2025-07-13T00:00:00"/>
    <x v="0"/>
    <n v="10"/>
    <n v="9"/>
    <x v="29"/>
    <n v="1"/>
    <n v="0"/>
    <n v="1"/>
    <n v="0"/>
    <n v="0"/>
    <n v="1"/>
  </r>
  <r>
    <n v="15"/>
    <d v="2025-07-13T00:00:00"/>
    <x v="1"/>
    <n v="1"/>
    <n v="1"/>
    <x v="30"/>
    <n v="10"/>
    <n v="9"/>
    <n v="19"/>
    <n v="1"/>
    <n v="1"/>
    <n v="0"/>
  </r>
  <r>
    <n v="15"/>
    <d v="2025-07-13T00:00:00"/>
    <x v="1"/>
    <n v="2"/>
    <n v="2"/>
    <x v="22"/>
    <n v="9"/>
    <n v="7"/>
    <n v="16"/>
    <n v="0"/>
    <n v="1"/>
    <n v="0"/>
  </r>
  <r>
    <n v="15"/>
    <d v="2025-07-13T00:00:00"/>
    <x v="1"/>
    <n v="3"/>
    <n v="3"/>
    <x v="28"/>
    <n v="8"/>
    <n v="5"/>
    <n v="13"/>
    <n v="0"/>
    <n v="1"/>
    <n v="0"/>
  </r>
  <r>
    <n v="15"/>
    <d v="2025-07-13T00:00:00"/>
    <x v="1"/>
    <n v="4"/>
    <n v="5"/>
    <x v="31"/>
    <n v="7"/>
    <n v="3"/>
    <n v="10"/>
    <n v="0"/>
    <n v="0"/>
    <n v="-1"/>
  </r>
  <r>
    <n v="15"/>
    <d v="2025-07-13T00:00:00"/>
    <x v="1"/>
    <n v="5"/>
    <n v="6"/>
    <x v="33"/>
    <n v="6"/>
    <n v="1"/>
    <n v="7"/>
    <n v="0"/>
    <n v="0"/>
    <n v="-1"/>
  </r>
  <r>
    <n v="15"/>
    <d v="2025-07-13T00:00:00"/>
    <x v="1"/>
    <n v="6"/>
    <n v="4"/>
    <x v="25"/>
    <n v="5"/>
    <n v="0"/>
    <n v="5"/>
    <n v="0"/>
    <n v="0"/>
    <n v="2"/>
  </r>
  <r>
    <n v="15"/>
    <d v="2025-07-13T00:00:00"/>
    <x v="1"/>
    <n v="7"/>
    <n v="7"/>
    <x v="36"/>
    <n v="4"/>
    <n v="0"/>
    <n v="4"/>
    <n v="0"/>
    <n v="0"/>
    <n v="0"/>
  </r>
  <r>
    <n v="15"/>
    <d v="2025-07-13T00:00:00"/>
    <x v="1"/>
    <n v="8"/>
    <n v="8"/>
    <x v="39"/>
    <n v="3"/>
    <n v="0"/>
    <n v="3"/>
    <n v="0"/>
    <n v="0"/>
    <n v="0"/>
  </r>
  <r>
    <n v="15"/>
    <d v="2025-07-13T00:00:00"/>
    <x v="1"/>
    <n v="9"/>
    <n v="10"/>
    <x v="40"/>
    <n v="2"/>
    <n v="0"/>
    <n v="2"/>
    <n v="0"/>
    <n v="0"/>
    <n v="-1"/>
  </r>
  <r>
    <n v="15"/>
    <d v="2025-07-13T00:00:00"/>
    <x v="1"/>
    <n v="10"/>
    <n v="9"/>
    <x v="18"/>
    <n v="1"/>
    <n v="0"/>
    <n v="1"/>
    <n v="0"/>
    <n v="0"/>
    <n v="1"/>
  </r>
  <r>
    <n v="16"/>
    <d v="2025-07-20T00:00:00"/>
    <x v="0"/>
    <n v="1"/>
    <n v="1"/>
    <x v="27"/>
    <n v="10"/>
    <n v="9"/>
    <n v="19"/>
    <n v="1"/>
    <n v="1"/>
    <n v="0"/>
  </r>
  <r>
    <n v="16"/>
    <d v="2025-07-20T00:00:00"/>
    <x v="0"/>
    <n v="2"/>
    <n v="2"/>
    <x v="23"/>
    <n v="9"/>
    <n v="7"/>
    <n v="16"/>
    <n v="0"/>
    <n v="1"/>
    <n v="0"/>
  </r>
  <r>
    <n v="16"/>
    <d v="2025-07-20T00:00:00"/>
    <x v="0"/>
    <n v="3"/>
    <n v="3"/>
    <x v="26"/>
    <n v="8"/>
    <n v="5"/>
    <n v="13"/>
    <n v="0"/>
    <n v="1"/>
    <n v="0"/>
  </r>
  <r>
    <n v="16"/>
    <d v="2025-07-20T00:00:00"/>
    <x v="0"/>
    <n v="4"/>
    <n v="4"/>
    <x v="34"/>
    <n v="7"/>
    <n v="3"/>
    <n v="10"/>
    <n v="0"/>
    <n v="0"/>
    <n v="0"/>
  </r>
  <r>
    <n v="16"/>
    <d v="2025-07-20T00:00:00"/>
    <x v="0"/>
    <n v="5"/>
    <n v="6"/>
    <x v="35"/>
    <n v="6"/>
    <n v="1"/>
    <n v="7"/>
    <n v="0"/>
    <n v="0"/>
    <n v="-1"/>
  </r>
  <r>
    <n v="16"/>
    <d v="2025-07-20T00:00:00"/>
    <x v="0"/>
    <n v="6"/>
    <n v="7"/>
    <x v="38"/>
    <n v="5"/>
    <n v="0"/>
    <n v="5"/>
    <n v="0"/>
    <n v="0"/>
    <n v="-1"/>
  </r>
  <r>
    <n v="16"/>
    <d v="2025-07-20T00:00:00"/>
    <x v="0"/>
    <n v="7"/>
    <n v="5"/>
    <x v="20"/>
    <n v="4"/>
    <n v="0"/>
    <n v="4"/>
    <n v="0"/>
    <n v="0"/>
    <n v="2"/>
  </r>
  <r>
    <n v="16"/>
    <d v="2025-07-20T00:00:00"/>
    <x v="0"/>
    <n v="8"/>
    <n v="8"/>
    <x v="37"/>
    <n v="3"/>
    <n v="0"/>
    <n v="3"/>
    <n v="0"/>
    <n v="0"/>
    <n v="0"/>
  </r>
  <r>
    <n v="16"/>
    <d v="2025-07-20T00:00:00"/>
    <x v="0"/>
    <n v="9"/>
    <n v="11"/>
    <x v="41"/>
    <n v="2"/>
    <n v="0"/>
    <n v="2"/>
    <n v="0"/>
    <n v="0"/>
    <n v="-2"/>
  </r>
  <r>
    <n v="16"/>
    <d v="2025-07-20T00:00:00"/>
    <x v="0"/>
    <n v="10"/>
    <n v="9"/>
    <x v="21"/>
    <n v="1"/>
    <n v="0"/>
    <n v="1"/>
    <n v="0"/>
    <n v="0"/>
    <n v="1"/>
  </r>
  <r>
    <n v="16"/>
    <d v="2025-07-20T00:00:00"/>
    <x v="1"/>
    <n v="1"/>
    <n v="1"/>
    <x v="30"/>
    <n v="10"/>
    <n v="9"/>
    <n v="19"/>
    <n v="1"/>
    <n v="1"/>
    <n v="0"/>
  </r>
  <r>
    <n v="16"/>
    <d v="2025-07-20T00:00:00"/>
    <x v="1"/>
    <n v="2"/>
    <n v="3"/>
    <x v="28"/>
    <n v="9"/>
    <n v="7"/>
    <n v="16"/>
    <n v="0"/>
    <n v="1"/>
    <n v="-1"/>
  </r>
  <r>
    <n v="16"/>
    <d v="2025-07-20T00:00:00"/>
    <x v="1"/>
    <n v="3"/>
    <n v="4"/>
    <x v="31"/>
    <n v="8"/>
    <n v="5"/>
    <n v="13"/>
    <n v="0"/>
    <n v="1"/>
    <n v="-1"/>
  </r>
  <r>
    <n v="16"/>
    <d v="2025-07-20T00:00:00"/>
    <x v="1"/>
    <n v="4"/>
    <n v="2"/>
    <x v="22"/>
    <n v="7"/>
    <n v="3"/>
    <n v="10"/>
    <n v="0"/>
    <n v="0"/>
    <n v="2"/>
  </r>
  <r>
    <n v="16"/>
    <d v="2025-07-20T00:00:00"/>
    <x v="1"/>
    <n v="5"/>
    <n v="5"/>
    <x v="33"/>
    <n v="6"/>
    <n v="1"/>
    <n v="7"/>
    <n v="0"/>
    <n v="0"/>
    <n v="0"/>
  </r>
  <r>
    <n v="16"/>
    <d v="2025-07-20T00:00:00"/>
    <x v="1"/>
    <n v="6"/>
    <n v="8"/>
    <x v="39"/>
    <n v="5"/>
    <n v="0"/>
    <n v="5"/>
    <n v="0"/>
    <n v="0"/>
    <n v="-2"/>
  </r>
  <r>
    <n v="16"/>
    <d v="2025-07-20T00:00:00"/>
    <x v="1"/>
    <n v="7"/>
    <n v="9"/>
    <x v="40"/>
    <n v="4"/>
    <n v="0"/>
    <n v="4"/>
    <n v="0"/>
    <n v="0"/>
    <n v="-2"/>
  </r>
  <r>
    <n v="16"/>
    <d v="2025-07-20T00:00:00"/>
    <x v="1"/>
    <n v="8"/>
    <n v="7"/>
    <x v="36"/>
    <n v="3"/>
    <n v="0"/>
    <n v="3"/>
    <n v="0"/>
    <n v="0"/>
    <n v="1"/>
  </r>
  <r>
    <n v="16"/>
    <d v="2025-07-20T00:00:00"/>
    <x v="1"/>
    <n v="9"/>
    <n v="11"/>
    <x v="42"/>
    <n v="2"/>
    <n v="0"/>
    <n v="2"/>
    <n v="0"/>
    <n v="0"/>
    <n v="-2"/>
  </r>
  <r>
    <n v="16"/>
    <d v="2025-07-20T00:00:00"/>
    <x v="1"/>
    <n v="10"/>
    <n v="11"/>
    <x v="43"/>
    <n v="1"/>
    <n v="0"/>
    <n v="1"/>
    <n v="0"/>
    <n v="0"/>
    <n v="-1"/>
  </r>
  <r>
    <n v="17"/>
    <d v="2025-08-03T00:00:00"/>
    <x v="0"/>
    <n v="1"/>
    <n v="2"/>
    <x v="23"/>
    <n v="10"/>
    <n v="9"/>
    <n v="19"/>
    <n v="1"/>
    <n v="1"/>
    <n v="-1"/>
  </r>
  <r>
    <n v="17"/>
    <d v="2025-08-03T00:00:00"/>
    <x v="0"/>
    <n v="2"/>
    <n v="3"/>
    <x v="26"/>
    <n v="9"/>
    <n v="7"/>
    <n v="16"/>
    <n v="0"/>
    <n v="1"/>
    <n v="-1"/>
  </r>
  <r>
    <n v="17"/>
    <d v="2025-08-03T00:00:00"/>
    <x v="0"/>
    <n v="3"/>
    <n v="4"/>
    <x v="34"/>
    <n v="8"/>
    <n v="5"/>
    <n v="13"/>
    <n v="0"/>
    <n v="1"/>
    <n v="-1"/>
  </r>
  <r>
    <n v="17"/>
    <d v="2025-08-03T00:00:00"/>
    <x v="0"/>
    <n v="4"/>
    <n v="1"/>
    <x v="27"/>
    <n v="7"/>
    <n v="3"/>
    <n v="10"/>
    <n v="0"/>
    <n v="0"/>
    <n v="3"/>
  </r>
  <r>
    <n v="17"/>
    <d v="2025-08-03T00:00:00"/>
    <x v="0"/>
    <n v="5"/>
    <n v="5"/>
    <x v="35"/>
    <n v="6"/>
    <n v="1"/>
    <n v="7"/>
    <n v="0"/>
    <n v="0"/>
    <n v="0"/>
  </r>
  <r>
    <n v="17"/>
    <d v="2025-08-03T00:00:00"/>
    <x v="0"/>
    <n v="6"/>
    <n v="6"/>
    <x v="38"/>
    <n v="5"/>
    <n v="0"/>
    <n v="5"/>
    <n v="0"/>
    <n v="0"/>
    <n v="0"/>
  </r>
  <r>
    <n v="17"/>
    <d v="2025-08-03T00:00:00"/>
    <x v="0"/>
    <n v="7"/>
    <n v="8"/>
    <x v="37"/>
    <n v="4"/>
    <n v="0"/>
    <n v="4"/>
    <n v="0"/>
    <n v="0"/>
    <n v="-1"/>
  </r>
  <r>
    <n v="17"/>
    <d v="2025-08-03T00:00:00"/>
    <x v="0"/>
    <n v="8"/>
    <n v="9"/>
    <x v="41"/>
    <n v="3"/>
    <n v="0"/>
    <n v="3"/>
    <n v="0"/>
    <n v="0"/>
    <n v="-1"/>
  </r>
  <r>
    <n v="17"/>
    <d v="2025-08-03T00:00:00"/>
    <x v="0"/>
    <n v="9"/>
    <n v="7"/>
    <x v="20"/>
    <n v="2"/>
    <n v="0"/>
    <n v="2"/>
    <n v="0"/>
    <n v="0"/>
    <n v="2"/>
  </r>
  <r>
    <n v="17"/>
    <d v="2025-08-03T00:00:00"/>
    <x v="0"/>
    <n v="10"/>
    <n v="11"/>
    <x v="44"/>
    <n v="1"/>
    <n v="0"/>
    <n v="1"/>
    <n v="0"/>
    <n v="0"/>
    <n v="-1"/>
  </r>
  <r>
    <n v="17"/>
    <d v="2025-08-03T00:00:00"/>
    <x v="1"/>
    <n v="1"/>
    <n v="3"/>
    <x v="31"/>
    <n v="10"/>
    <n v="9"/>
    <n v="19"/>
    <n v="1"/>
    <n v="1"/>
    <n v="-2"/>
  </r>
  <r>
    <n v="17"/>
    <d v="2025-08-03T00:00:00"/>
    <x v="1"/>
    <n v="2"/>
    <n v="2"/>
    <x v="28"/>
    <n v="9"/>
    <n v="7"/>
    <n v="16"/>
    <n v="0"/>
    <n v="1"/>
    <n v="0"/>
  </r>
  <r>
    <n v="17"/>
    <d v="2025-08-03T00:00:00"/>
    <x v="1"/>
    <n v="3"/>
    <n v="6"/>
    <x v="39"/>
    <n v="8"/>
    <n v="5"/>
    <n v="13"/>
    <n v="0"/>
    <n v="1"/>
    <n v="-3"/>
  </r>
  <r>
    <n v="17"/>
    <d v="2025-08-03T00:00:00"/>
    <x v="1"/>
    <n v="4"/>
    <n v="7"/>
    <x v="40"/>
    <n v="7"/>
    <n v="3"/>
    <n v="10"/>
    <n v="0"/>
    <n v="0"/>
    <n v="-3"/>
  </r>
  <r>
    <n v="17"/>
    <d v="2025-08-03T00:00:00"/>
    <x v="1"/>
    <n v="5"/>
    <n v="1"/>
    <x v="30"/>
    <n v="6"/>
    <n v="1"/>
    <n v="7"/>
    <n v="0"/>
    <n v="0"/>
    <n v="4"/>
  </r>
  <r>
    <n v="17"/>
    <d v="2025-08-03T00:00:00"/>
    <x v="1"/>
    <n v="6"/>
    <n v="9"/>
    <x v="42"/>
    <n v="5"/>
    <n v="0"/>
    <n v="5"/>
    <n v="0"/>
    <n v="0"/>
    <n v="-3"/>
  </r>
  <r>
    <n v="17"/>
    <d v="2025-08-03T00:00:00"/>
    <x v="1"/>
    <n v="7"/>
    <n v="5"/>
    <x v="33"/>
    <n v="4"/>
    <n v="0"/>
    <n v="4"/>
    <n v="0"/>
    <n v="0"/>
    <n v="2"/>
  </r>
  <r>
    <n v="17"/>
    <d v="2025-08-03T00:00:00"/>
    <x v="1"/>
    <n v="8"/>
    <n v="4"/>
    <x v="22"/>
    <n v="3"/>
    <n v="0"/>
    <n v="3"/>
    <n v="0"/>
    <n v="0"/>
    <n v="4"/>
  </r>
  <r>
    <n v="17"/>
    <d v="2025-08-03T00:00:00"/>
    <x v="1"/>
    <n v="9"/>
    <n v="10"/>
    <x v="43"/>
    <n v="2"/>
    <n v="0"/>
    <n v="2"/>
    <n v="0"/>
    <n v="0"/>
    <n v="-1"/>
  </r>
  <r>
    <n v="17"/>
    <d v="2025-08-03T00:00:00"/>
    <x v="1"/>
    <n v="10"/>
    <n v="8"/>
    <x v="36"/>
    <n v="1"/>
    <n v="0"/>
    <n v="1"/>
    <n v="0"/>
    <n v="0"/>
    <n v="2"/>
  </r>
  <r>
    <n v="18"/>
    <d v="2025-08-10T00:00:00"/>
    <x v="0"/>
    <n v="1"/>
    <n v="1"/>
    <x v="23"/>
    <n v="10"/>
    <n v="9"/>
    <n v="19"/>
    <n v="1"/>
    <n v="1"/>
    <n v="0"/>
  </r>
  <r>
    <n v="18"/>
    <d v="2025-08-10T00:00:00"/>
    <x v="0"/>
    <n v="2"/>
    <n v="3"/>
    <x v="34"/>
    <n v="9"/>
    <n v="7"/>
    <n v="16"/>
    <n v="0"/>
    <n v="1"/>
    <n v="-1"/>
  </r>
  <r>
    <n v="18"/>
    <d v="2025-08-10T00:00:00"/>
    <x v="0"/>
    <n v="3"/>
    <n v="2"/>
    <x v="26"/>
    <n v="8"/>
    <n v="5"/>
    <n v="13"/>
    <n v="0"/>
    <n v="1"/>
    <n v="1"/>
  </r>
  <r>
    <n v="18"/>
    <d v="2025-08-10T00:00:00"/>
    <x v="0"/>
    <n v="4"/>
    <n v="5"/>
    <x v="35"/>
    <n v="7"/>
    <n v="3"/>
    <n v="10"/>
    <n v="0"/>
    <n v="0"/>
    <n v="-1"/>
  </r>
  <r>
    <n v="18"/>
    <d v="2025-08-10T00:00:00"/>
    <x v="0"/>
    <n v="5"/>
    <n v="6"/>
    <x v="38"/>
    <n v="6"/>
    <n v="1"/>
    <n v="7"/>
    <n v="0"/>
    <n v="0"/>
    <n v="-1"/>
  </r>
  <r>
    <n v="18"/>
    <d v="2025-08-10T00:00:00"/>
    <x v="0"/>
    <n v="6"/>
    <n v="4"/>
    <x v="27"/>
    <n v="5"/>
    <n v="0"/>
    <n v="5"/>
    <n v="0"/>
    <n v="0"/>
    <n v="2"/>
  </r>
  <r>
    <n v="18"/>
    <d v="2025-08-10T00:00:00"/>
    <x v="0"/>
    <n v="7"/>
    <n v="7"/>
    <x v="37"/>
    <n v="4"/>
    <n v="0"/>
    <n v="4"/>
    <n v="0"/>
    <n v="0"/>
    <n v="0"/>
  </r>
  <r>
    <n v="18"/>
    <d v="2025-08-10T00:00:00"/>
    <x v="0"/>
    <n v="8"/>
    <n v="8"/>
    <x v="41"/>
    <n v="3"/>
    <n v="0"/>
    <n v="3"/>
    <n v="0"/>
    <n v="0"/>
    <n v="0"/>
  </r>
  <r>
    <n v="18"/>
    <d v="2025-08-10T00:00:00"/>
    <x v="0"/>
    <n v="9"/>
    <n v="10"/>
    <x v="44"/>
    <n v="2"/>
    <n v="0"/>
    <n v="2"/>
    <n v="0"/>
    <n v="0"/>
    <n v="-1"/>
  </r>
  <r>
    <n v="18"/>
    <d v="2025-08-10T00:00:00"/>
    <x v="0"/>
    <n v="10"/>
    <n v="9"/>
    <x v="20"/>
    <n v="1"/>
    <n v="0"/>
    <n v="1"/>
    <n v="0"/>
    <n v="0"/>
    <n v="1"/>
  </r>
  <r>
    <n v="18"/>
    <d v="2025-08-10T00:00:00"/>
    <x v="1"/>
    <n v="1"/>
    <n v="1"/>
    <x v="31"/>
    <n v="10"/>
    <n v="9"/>
    <n v="19"/>
    <n v="1"/>
    <n v="1"/>
    <n v="0"/>
  </r>
  <r>
    <n v="18"/>
    <d v="2025-08-10T00:00:00"/>
    <x v="1"/>
    <n v="2"/>
    <n v="3"/>
    <x v="39"/>
    <n v="9"/>
    <n v="7"/>
    <n v="16"/>
    <n v="0"/>
    <n v="1"/>
    <n v="-1"/>
  </r>
  <r>
    <n v="18"/>
    <d v="2025-08-10T00:00:00"/>
    <x v="1"/>
    <n v="3"/>
    <n v="4"/>
    <x v="40"/>
    <n v="8"/>
    <n v="5"/>
    <n v="13"/>
    <n v="0"/>
    <n v="1"/>
    <n v="-1"/>
  </r>
  <r>
    <n v="18"/>
    <d v="2025-08-10T00:00:00"/>
    <x v="1"/>
    <n v="4"/>
    <n v="2"/>
    <x v="28"/>
    <n v="7"/>
    <n v="3"/>
    <n v="10"/>
    <n v="0"/>
    <n v="0"/>
    <n v="2"/>
  </r>
  <r>
    <n v="18"/>
    <d v="2025-08-10T00:00:00"/>
    <x v="1"/>
    <n v="5"/>
    <n v="6"/>
    <x v="42"/>
    <n v="6"/>
    <n v="1"/>
    <n v="7"/>
    <n v="0"/>
    <n v="0"/>
    <n v="-1"/>
  </r>
  <r>
    <n v="18"/>
    <d v="2025-08-10T00:00:00"/>
    <x v="1"/>
    <n v="6"/>
    <n v="5"/>
    <x v="30"/>
    <n v="5"/>
    <n v="0"/>
    <n v="5"/>
    <n v="0"/>
    <n v="0"/>
    <n v="1"/>
  </r>
  <r>
    <n v="18"/>
    <d v="2025-08-10T00:00:00"/>
    <x v="1"/>
    <n v="7"/>
    <n v="7"/>
    <x v="33"/>
    <n v="4"/>
    <n v="0"/>
    <n v="4"/>
    <n v="0"/>
    <n v="0"/>
    <n v="0"/>
  </r>
  <r>
    <n v="18"/>
    <d v="2025-08-10T00:00:00"/>
    <x v="1"/>
    <n v="8"/>
    <n v="9"/>
    <x v="43"/>
    <n v="3"/>
    <n v="0"/>
    <n v="3"/>
    <n v="0"/>
    <n v="0"/>
    <n v="-1"/>
  </r>
  <r>
    <n v="18"/>
    <d v="2025-08-10T00:00:00"/>
    <x v="1"/>
    <n v="9"/>
    <n v="11"/>
    <x v="45"/>
    <n v="2"/>
    <n v="0"/>
    <n v="2"/>
    <n v="0"/>
    <n v="0"/>
    <n v="-2"/>
  </r>
  <r>
    <n v="18"/>
    <d v="2025-08-10T00:00:00"/>
    <x v="1"/>
    <n v="10"/>
    <n v="11"/>
    <x v="46"/>
    <n v="1"/>
    <n v="0"/>
    <n v="1"/>
    <n v="0"/>
    <n v="0"/>
    <n v="-1"/>
  </r>
  <r>
    <n v="19"/>
    <d v="2025-08-24T00:00:00"/>
    <x v="0"/>
    <n v="1"/>
    <n v="1"/>
    <x v="23"/>
    <n v="10"/>
    <n v="9"/>
    <n v="19"/>
    <n v="1"/>
    <n v="1"/>
    <n v="0"/>
  </r>
  <r>
    <n v="19"/>
    <d v="2025-08-24T00:00:00"/>
    <x v="0"/>
    <n v="2"/>
    <n v="2"/>
    <x v="34"/>
    <n v="9"/>
    <n v="7"/>
    <n v="16"/>
    <n v="0"/>
    <n v="1"/>
    <n v="0"/>
  </r>
  <r>
    <n v="19"/>
    <d v="2025-08-24T00:00:00"/>
    <x v="0"/>
    <n v="3"/>
    <n v="4"/>
    <x v="35"/>
    <n v="8"/>
    <n v="5"/>
    <n v="13"/>
    <n v="0"/>
    <n v="1"/>
    <n v="-1"/>
  </r>
  <r>
    <n v="19"/>
    <d v="2025-08-24T00:00:00"/>
    <x v="0"/>
    <n v="4"/>
    <n v="5"/>
    <x v="38"/>
    <n v="7"/>
    <n v="3"/>
    <n v="10"/>
    <n v="0"/>
    <n v="0"/>
    <n v="-1"/>
  </r>
  <r>
    <n v="19"/>
    <d v="2025-08-24T00:00:00"/>
    <x v="0"/>
    <n v="5"/>
    <n v="3"/>
    <x v="26"/>
    <n v="6"/>
    <n v="1"/>
    <n v="7"/>
    <n v="0"/>
    <n v="0"/>
    <n v="2"/>
  </r>
  <r>
    <n v="19"/>
    <d v="2025-08-24T00:00:00"/>
    <x v="0"/>
    <n v="6"/>
    <n v="7"/>
    <x v="37"/>
    <n v="5"/>
    <n v="0"/>
    <n v="5"/>
    <n v="0"/>
    <n v="0"/>
    <n v="-1"/>
  </r>
  <r>
    <n v="19"/>
    <d v="2025-08-24T00:00:00"/>
    <x v="0"/>
    <n v="7"/>
    <n v="8"/>
    <x v="41"/>
    <n v="4"/>
    <n v="0"/>
    <n v="4"/>
    <n v="0"/>
    <n v="0"/>
    <n v="-1"/>
  </r>
  <r>
    <n v="19"/>
    <d v="2025-08-24T00:00:00"/>
    <x v="0"/>
    <n v="8"/>
    <n v="6"/>
    <x v="27"/>
    <n v="3"/>
    <n v="0"/>
    <n v="3"/>
    <n v="0"/>
    <n v="0"/>
    <n v="2"/>
  </r>
  <r>
    <n v="19"/>
    <d v="2025-08-24T00:00:00"/>
    <x v="0"/>
    <n v="9"/>
    <n v="9"/>
    <x v="44"/>
    <n v="2"/>
    <n v="0"/>
    <n v="2"/>
    <n v="0"/>
    <n v="0"/>
    <n v="0"/>
  </r>
  <r>
    <n v="19"/>
    <d v="2025-08-24T00:00:00"/>
    <x v="0"/>
    <n v="10"/>
    <n v="10"/>
    <x v="20"/>
    <n v="1"/>
    <n v="0"/>
    <n v="1"/>
    <n v="0"/>
    <n v="0"/>
    <n v="0"/>
  </r>
  <r>
    <n v="19"/>
    <d v="2025-08-24T00:00:00"/>
    <x v="1"/>
    <n v="1"/>
    <n v="1"/>
    <x v="31"/>
    <n v="10"/>
    <n v="9"/>
    <n v="19"/>
    <n v="1"/>
    <n v="1"/>
    <n v="0"/>
  </r>
  <r>
    <n v="19"/>
    <d v="2025-08-24T00:00:00"/>
    <x v="1"/>
    <n v="2"/>
    <n v="3"/>
    <x v="40"/>
    <n v="9"/>
    <n v="7"/>
    <n v="16"/>
    <n v="0"/>
    <n v="1"/>
    <n v="-1"/>
  </r>
  <r>
    <n v="19"/>
    <d v="2025-08-24T00:00:00"/>
    <x v="1"/>
    <n v="3"/>
    <n v="2"/>
    <x v="39"/>
    <n v="8"/>
    <n v="5"/>
    <n v="13"/>
    <n v="0"/>
    <n v="1"/>
    <n v="1"/>
  </r>
  <r>
    <n v="19"/>
    <d v="2025-08-24T00:00:00"/>
    <x v="1"/>
    <n v="4"/>
    <n v="5"/>
    <x v="42"/>
    <n v="7"/>
    <n v="3"/>
    <n v="10"/>
    <n v="0"/>
    <n v="0"/>
    <n v="-1"/>
  </r>
  <r>
    <n v="19"/>
    <d v="2025-08-24T00:00:00"/>
    <x v="1"/>
    <n v="5"/>
    <n v="4"/>
    <x v="28"/>
    <n v="6"/>
    <n v="1"/>
    <n v="7"/>
    <n v="0"/>
    <n v="0"/>
    <n v="1"/>
  </r>
  <r>
    <n v="19"/>
    <d v="2025-08-24T00:00:00"/>
    <x v="1"/>
    <n v="6"/>
    <n v="8"/>
    <x v="43"/>
    <n v="5"/>
    <n v="0"/>
    <n v="5"/>
    <n v="0"/>
    <n v="0"/>
    <n v="-2"/>
  </r>
  <r>
    <n v="19"/>
    <d v="2025-08-24T00:00:00"/>
    <x v="1"/>
    <n v="7"/>
    <n v="9"/>
    <x v="45"/>
    <n v="4"/>
    <n v="0"/>
    <n v="4"/>
    <n v="0"/>
    <n v="0"/>
    <n v="-2"/>
  </r>
  <r>
    <n v="19"/>
    <d v="2025-08-24T00:00:00"/>
    <x v="1"/>
    <n v="8"/>
    <n v="10"/>
    <x v="46"/>
    <n v="3"/>
    <n v="0"/>
    <n v="3"/>
    <n v="0"/>
    <n v="0"/>
    <n v="-2"/>
  </r>
  <r>
    <n v="19"/>
    <d v="2025-08-24T00:00:00"/>
    <x v="1"/>
    <n v="9"/>
    <n v="6"/>
    <x v="30"/>
    <n v="2"/>
    <n v="0"/>
    <n v="2"/>
    <n v="0"/>
    <n v="0"/>
    <n v="3"/>
  </r>
  <r>
    <n v="19"/>
    <d v="2025-08-24T00:00:00"/>
    <x v="1"/>
    <n v="10"/>
    <n v="7"/>
    <x v="33"/>
    <n v="1"/>
    <n v="0"/>
    <n v="1"/>
    <n v="0"/>
    <n v="0"/>
    <n v="3"/>
  </r>
  <r>
    <n v="20"/>
    <d v="2025-09-07T00:00:00"/>
    <x v="0"/>
    <n v="1"/>
    <n v="2"/>
    <x v="34"/>
    <n v="10"/>
    <n v="9"/>
    <n v="19"/>
    <n v="1"/>
    <n v="1"/>
    <n v="-1"/>
  </r>
  <r>
    <n v="20"/>
    <d v="2025-09-07T00:00:00"/>
    <x v="0"/>
    <n v="2"/>
    <n v="1"/>
    <x v="23"/>
    <n v="9"/>
    <n v="7"/>
    <n v="16"/>
    <n v="0"/>
    <n v="1"/>
    <n v="1"/>
  </r>
  <r>
    <n v="20"/>
    <d v="2025-09-07T00:00:00"/>
    <x v="0"/>
    <n v="3"/>
    <n v="3"/>
    <x v="35"/>
    <n v="8"/>
    <n v="5"/>
    <n v="13"/>
    <n v="0"/>
    <n v="1"/>
    <n v="0"/>
  </r>
  <r>
    <n v="20"/>
    <d v="2025-09-07T00:00:00"/>
    <x v="0"/>
    <n v="4"/>
    <n v="4"/>
    <x v="38"/>
    <n v="7"/>
    <n v="3"/>
    <n v="10"/>
    <n v="0"/>
    <n v="0"/>
    <n v="0"/>
  </r>
  <r>
    <n v="20"/>
    <d v="2025-09-07T00:00:00"/>
    <x v="0"/>
    <n v="5"/>
    <n v="6"/>
    <x v="37"/>
    <n v="6"/>
    <n v="1"/>
    <n v="7"/>
    <n v="0"/>
    <n v="0"/>
    <n v="-1"/>
  </r>
  <r>
    <n v="20"/>
    <d v="2025-09-07T00:00:00"/>
    <x v="0"/>
    <n v="6"/>
    <n v="7"/>
    <x v="41"/>
    <n v="5"/>
    <n v="0"/>
    <n v="5"/>
    <n v="0"/>
    <n v="0"/>
    <n v="-1"/>
  </r>
  <r>
    <n v="20"/>
    <d v="2025-09-07T00:00:00"/>
    <x v="0"/>
    <n v="7"/>
    <n v="5"/>
    <x v="26"/>
    <n v="4"/>
    <n v="0"/>
    <n v="4"/>
    <n v="0"/>
    <n v="0"/>
    <n v="2"/>
  </r>
  <r>
    <n v="20"/>
    <d v="2025-09-07T00:00:00"/>
    <x v="0"/>
    <n v="8"/>
    <n v="9"/>
    <x v="44"/>
    <n v="3"/>
    <n v="0"/>
    <n v="3"/>
    <n v="0"/>
    <n v="0"/>
    <n v="-1"/>
  </r>
  <r>
    <n v="20"/>
    <d v="2025-09-07T00:00:00"/>
    <x v="0"/>
    <n v="9"/>
    <n v="8"/>
    <x v="27"/>
    <n v="2"/>
    <n v="0"/>
    <n v="2"/>
    <n v="0"/>
    <n v="0"/>
    <n v="1"/>
  </r>
  <r>
    <n v="20"/>
    <d v="2025-09-07T00:00:00"/>
    <x v="0"/>
    <n v="10"/>
    <n v="11"/>
    <x v="47"/>
    <n v="1"/>
    <n v="0"/>
    <n v="1"/>
    <n v="0"/>
    <n v="0"/>
    <n v="-1"/>
  </r>
  <r>
    <n v="20"/>
    <d v="2025-09-07T00:00:00"/>
    <x v="1"/>
    <n v="1"/>
    <n v="1"/>
    <x v="31"/>
    <n v="10"/>
    <n v="9"/>
    <n v="19"/>
    <n v="1"/>
    <n v="1"/>
    <n v="0"/>
  </r>
  <r>
    <n v="20"/>
    <d v="2025-09-07T00:00:00"/>
    <x v="1"/>
    <n v="2"/>
    <n v="2"/>
    <x v="40"/>
    <n v="9"/>
    <n v="7"/>
    <n v="16"/>
    <n v="0"/>
    <n v="1"/>
    <n v="0"/>
  </r>
  <r>
    <n v="20"/>
    <d v="2025-09-07T00:00:00"/>
    <x v="1"/>
    <n v="3"/>
    <n v="4"/>
    <x v="42"/>
    <n v="8"/>
    <n v="5"/>
    <n v="13"/>
    <n v="0"/>
    <n v="1"/>
    <n v="-1"/>
  </r>
  <r>
    <n v="20"/>
    <d v="2025-09-07T00:00:00"/>
    <x v="1"/>
    <n v="4"/>
    <n v="3"/>
    <x v="39"/>
    <n v="7"/>
    <n v="3"/>
    <n v="10"/>
    <n v="0"/>
    <n v="0"/>
    <n v="1"/>
  </r>
  <r>
    <n v="20"/>
    <d v="2025-09-07T00:00:00"/>
    <x v="1"/>
    <n v="5"/>
    <n v="7"/>
    <x v="45"/>
    <n v="6"/>
    <n v="1"/>
    <n v="7"/>
    <n v="0"/>
    <n v="0"/>
    <n v="-2"/>
  </r>
  <r>
    <n v="20"/>
    <d v="2025-09-07T00:00:00"/>
    <x v="1"/>
    <n v="6"/>
    <n v="8"/>
    <x v="46"/>
    <n v="5"/>
    <n v="0"/>
    <n v="5"/>
    <n v="0"/>
    <n v="0"/>
    <n v="-2"/>
  </r>
  <r>
    <n v="20"/>
    <d v="2025-09-07T00:00:00"/>
    <x v="1"/>
    <n v="7"/>
    <n v="6"/>
    <x v="43"/>
    <n v="4"/>
    <n v="0"/>
    <n v="4"/>
    <n v="0"/>
    <n v="0"/>
    <n v="1"/>
  </r>
  <r>
    <n v="20"/>
    <d v="2025-09-07T00:00:00"/>
    <x v="1"/>
    <n v="8"/>
    <n v="5"/>
    <x v="28"/>
    <n v="3"/>
    <n v="0"/>
    <n v="3"/>
    <n v="0"/>
    <n v="0"/>
    <n v="3"/>
  </r>
  <r>
    <n v="20"/>
    <d v="2025-09-07T00:00:00"/>
    <x v="1"/>
    <n v="9"/>
    <n v="11"/>
    <x v="48"/>
    <n v="2"/>
    <n v="0"/>
    <n v="2"/>
    <n v="0"/>
    <n v="0"/>
    <n v="-2"/>
  </r>
  <r>
    <n v="20"/>
    <d v="2025-09-07T00:00:00"/>
    <x v="1"/>
    <n v="10"/>
    <n v="11"/>
    <x v="49"/>
    <n v="1"/>
    <n v="0"/>
    <n v="1"/>
    <n v="0"/>
    <n v="0"/>
    <n v="-1"/>
  </r>
  <r>
    <n v="21"/>
    <d v="2025-09-21T00:00:00"/>
    <x v="0"/>
    <n v="1"/>
    <n v="1"/>
    <x v="34"/>
    <n v="10"/>
    <n v="9"/>
    <n v="19"/>
    <n v="1"/>
    <n v="1"/>
    <n v="0"/>
  </r>
  <r>
    <n v="21"/>
    <d v="2025-09-21T00:00:00"/>
    <x v="0"/>
    <n v="2"/>
    <n v="3"/>
    <x v="35"/>
    <n v="9"/>
    <n v="7"/>
    <n v="16"/>
    <n v="0"/>
    <n v="1"/>
    <n v="-1"/>
  </r>
  <r>
    <n v="21"/>
    <d v="2025-09-21T00:00:00"/>
    <x v="0"/>
    <n v="3"/>
    <n v="4"/>
    <x v="38"/>
    <n v="8"/>
    <n v="5"/>
    <n v="13"/>
    <n v="0"/>
    <n v="1"/>
    <n v="-1"/>
  </r>
  <r>
    <n v="21"/>
    <d v="2025-09-21T00:00:00"/>
    <x v="0"/>
    <n v="4"/>
    <n v="2"/>
    <x v="23"/>
    <n v="7"/>
    <n v="3"/>
    <n v="10"/>
    <n v="0"/>
    <n v="0"/>
    <n v="2"/>
  </r>
  <r>
    <n v="21"/>
    <d v="2025-09-21T00:00:00"/>
    <x v="0"/>
    <n v="5"/>
    <n v="5"/>
    <x v="37"/>
    <n v="6"/>
    <n v="1"/>
    <n v="7"/>
    <n v="0"/>
    <n v="0"/>
    <n v="0"/>
  </r>
  <r>
    <n v="21"/>
    <d v="2025-09-21T00:00:00"/>
    <x v="0"/>
    <n v="6"/>
    <n v="6"/>
    <x v="41"/>
    <n v="5"/>
    <n v="0"/>
    <n v="5"/>
    <n v="0"/>
    <n v="0"/>
    <n v="0"/>
  </r>
  <r>
    <n v="21"/>
    <d v="2025-09-21T00:00:00"/>
    <x v="0"/>
    <n v="7"/>
    <n v="8"/>
    <x v="44"/>
    <n v="4"/>
    <n v="0"/>
    <n v="4"/>
    <n v="0"/>
    <n v="0"/>
    <n v="-1"/>
  </r>
  <r>
    <n v="21"/>
    <d v="2025-09-21T00:00:00"/>
    <x v="0"/>
    <n v="8"/>
    <n v="7"/>
    <x v="26"/>
    <n v="3"/>
    <n v="0"/>
    <n v="3"/>
    <n v="0"/>
    <n v="0"/>
    <n v="1"/>
  </r>
  <r>
    <n v="21"/>
    <d v="2025-09-21T00:00:00"/>
    <x v="0"/>
    <n v="9"/>
    <n v="10"/>
    <x v="47"/>
    <n v="2"/>
    <n v="0"/>
    <n v="2"/>
    <n v="0"/>
    <n v="0"/>
    <n v="-1"/>
  </r>
  <r>
    <n v="21"/>
    <d v="2025-09-21T00:00:00"/>
    <x v="0"/>
    <n v="10"/>
    <n v="9"/>
    <x v="27"/>
    <n v="1"/>
    <n v="0"/>
    <n v="1"/>
    <n v="0"/>
    <n v="0"/>
    <n v="1"/>
  </r>
  <r>
    <n v="21"/>
    <d v="2025-09-21T00:00:00"/>
    <x v="1"/>
    <n v="1"/>
    <n v="1"/>
    <x v="31"/>
    <n v="10"/>
    <n v="9"/>
    <n v="19"/>
    <n v="1"/>
    <n v="1"/>
    <n v="0"/>
  </r>
  <r>
    <n v="21"/>
    <d v="2025-09-21T00:00:00"/>
    <x v="1"/>
    <n v="2"/>
    <n v="2"/>
    <x v="40"/>
    <n v="9"/>
    <n v="7"/>
    <n v="16"/>
    <n v="0"/>
    <n v="1"/>
    <n v="0"/>
  </r>
  <r>
    <n v="21"/>
    <d v="2025-09-21T00:00:00"/>
    <x v="1"/>
    <n v="3"/>
    <n v="3"/>
    <x v="42"/>
    <n v="8"/>
    <n v="5"/>
    <n v="13"/>
    <n v="0"/>
    <n v="1"/>
    <n v="0"/>
  </r>
  <r>
    <n v="21"/>
    <d v="2025-09-21T00:00:00"/>
    <x v="1"/>
    <n v="4"/>
    <n v="5"/>
    <x v="45"/>
    <n v="7"/>
    <n v="3"/>
    <n v="10"/>
    <n v="0"/>
    <n v="0"/>
    <n v="-1"/>
  </r>
  <r>
    <n v="21"/>
    <d v="2025-09-21T00:00:00"/>
    <x v="1"/>
    <n v="5"/>
    <n v="4"/>
    <x v="39"/>
    <n v="6"/>
    <n v="1"/>
    <n v="7"/>
    <n v="0"/>
    <n v="0"/>
    <n v="1"/>
  </r>
  <r>
    <n v="21"/>
    <d v="2025-09-21T00:00:00"/>
    <x v="1"/>
    <n v="6"/>
    <n v="6"/>
    <x v="46"/>
    <n v="5"/>
    <n v="0"/>
    <n v="5"/>
    <n v="0"/>
    <n v="0"/>
    <n v="0"/>
  </r>
  <r>
    <n v="21"/>
    <d v="2025-09-21T00:00:00"/>
    <x v="1"/>
    <n v="7"/>
    <n v="7"/>
    <x v="43"/>
    <n v="4"/>
    <n v="0"/>
    <n v="4"/>
    <n v="0"/>
    <n v="0"/>
    <n v="0"/>
  </r>
  <r>
    <n v="21"/>
    <d v="2025-09-21T00:00:00"/>
    <x v="1"/>
    <n v="8"/>
    <n v="9"/>
    <x v="48"/>
    <n v="3"/>
    <n v="0"/>
    <n v="3"/>
    <n v="0"/>
    <n v="0"/>
    <n v="-1"/>
  </r>
  <r>
    <n v="21"/>
    <d v="2025-09-21T00:00:00"/>
    <x v="1"/>
    <n v="9"/>
    <n v="10"/>
    <x v="49"/>
    <n v="2"/>
    <n v="0"/>
    <n v="2"/>
    <n v="0"/>
    <n v="0"/>
    <n v="-1"/>
  </r>
  <r>
    <n v="21"/>
    <d v="2025-09-21T00:00:00"/>
    <x v="1"/>
    <n v="10"/>
    <n v="8"/>
    <x v="28"/>
    <n v="1"/>
    <n v="0"/>
    <n v="1"/>
    <n v="0"/>
    <n v="0"/>
    <n v="2"/>
  </r>
  <r>
    <n v="22"/>
    <d v="2025-09-28T00:00:00"/>
    <x v="0"/>
    <n v="1"/>
    <n v="1"/>
    <x v="34"/>
    <n v="10"/>
    <n v="9"/>
    <n v="19"/>
    <n v="1"/>
    <n v="1"/>
    <n v="0"/>
  </r>
  <r>
    <n v="22"/>
    <d v="2025-09-28T00:00:00"/>
    <x v="0"/>
    <n v="2"/>
    <n v="3"/>
    <x v="38"/>
    <n v="9"/>
    <n v="7"/>
    <n v="16"/>
    <n v="0"/>
    <n v="1"/>
    <n v="-1"/>
  </r>
  <r>
    <n v="22"/>
    <d v="2025-09-28T00:00:00"/>
    <x v="0"/>
    <n v="3"/>
    <n v="2"/>
    <x v="35"/>
    <n v="8"/>
    <n v="5"/>
    <n v="13"/>
    <n v="0"/>
    <n v="1"/>
    <n v="1"/>
  </r>
  <r>
    <n v="22"/>
    <d v="2025-09-28T00:00:00"/>
    <x v="0"/>
    <n v="4"/>
    <n v="6"/>
    <x v="41"/>
    <n v="7"/>
    <n v="3"/>
    <n v="10"/>
    <n v="0"/>
    <n v="0"/>
    <n v="-2"/>
  </r>
  <r>
    <n v="22"/>
    <d v="2025-09-28T00:00:00"/>
    <x v="0"/>
    <n v="5"/>
    <n v="5"/>
    <x v="37"/>
    <n v="6"/>
    <n v="1"/>
    <n v="7"/>
    <n v="0"/>
    <n v="0"/>
    <n v="0"/>
  </r>
  <r>
    <n v="22"/>
    <d v="2025-09-28T00:00:00"/>
    <x v="0"/>
    <n v="6"/>
    <n v="4"/>
    <x v="23"/>
    <n v="5"/>
    <n v="0"/>
    <n v="5"/>
    <n v="0"/>
    <n v="0"/>
    <n v="2"/>
  </r>
  <r>
    <n v="22"/>
    <d v="2025-09-28T00:00:00"/>
    <x v="0"/>
    <n v="7"/>
    <n v="7"/>
    <x v="44"/>
    <n v="4"/>
    <n v="0"/>
    <n v="4"/>
    <n v="0"/>
    <n v="0"/>
    <n v="0"/>
  </r>
  <r>
    <n v="22"/>
    <d v="2025-09-28T00:00:00"/>
    <x v="0"/>
    <n v="8"/>
    <n v="9"/>
    <x v="47"/>
    <n v="3"/>
    <n v="0"/>
    <n v="3"/>
    <n v="0"/>
    <n v="0"/>
    <n v="-1"/>
  </r>
  <r>
    <n v="22"/>
    <d v="2025-09-28T00:00:00"/>
    <x v="0"/>
    <n v="9"/>
    <n v="8"/>
    <x v="26"/>
    <n v="2"/>
    <n v="0"/>
    <n v="2"/>
    <n v="0"/>
    <n v="0"/>
    <n v="1"/>
  </r>
  <r>
    <n v="22"/>
    <d v="2025-09-28T00:00:00"/>
    <x v="0"/>
    <n v="10"/>
    <n v="11"/>
    <x v="50"/>
    <n v="1"/>
    <n v="0"/>
    <n v="1"/>
    <n v="0"/>
    <n v="0"/>
    <n v="-1"/>
  </r>
  <r>
    <n v="22"/>
    <d v="2025-09-28T00:00:00"/>
    <x v="1"/>
    <n v="1"/>
    <n v="2"/>
    <x v="40"/>
    <n v="10"/>
    <n v="9"/>
    <n v="19"/>
    <n v="1"/>
    <n v="1"/>
    <n v="-1"/>
  </r>
  <r>
    <n v="22"/>
    <d v="2025-09-28T00:00:00"/>
    <x v="1"/>
    <n v="2"/>
    <n v="3"/>
    <x v="42"/>
    <n v="9"/>
    <n v="7"/>
    <n v="16"/>
    <n v="0"/>
    <n v="1"/>
    <n v="-1"/>
  </r>
  <r>
    <n v="22"/>
    <d v="2025-09-28T00:00:00"/>
    <x v="1"/>
    <n v="3"/>
    <n v="1"/>
    <x v="31"/>
    <n v="8"/>
    <n v="5"/>
    <n v="13"/>
    <n v="0"/>
    <n v="1"/>
    <n v="2"/>
  </r>
  <r>
    <n v="22"/>
    <d v="2025-09-28T00:00:00"/>
    <x v="1"/>
    <n v="4"/>
    <n v="4"/>
    <x v="45"/>
    <n v="7"/>
    <n v="3"/>
    <n v="10"/>
    <n v="0"/>
    <n v="0"/>
    <n v="0"/>
  </r>
  <r>
    <n v="22"/>
    <d v="2025-09-28T00:00:00"/>
    <x v="1"/>
    <n v="5"/>
    <n v="5"/>
    <x v="39"/>
    <n v="6"/>
    <n v="1"/>
    <n v="7"/>
    <n v="0"/>
    <n v="0"/>
    <n v="0"/>
  </r>
  <r>
    <n v="22"/>
    <d v="2025-09-28T00:00:00"/>
    <x v="1"/>
    <n v="6"/>
    <n v="9"/>
    <x v="49"/>
    <n v="5"/>
    <n v="0"/>
    <n v="5"/>
    <n v="0"/>
    <n v="0"/>
    <n v="-3"/>
  </r>
  <r>
    <n v="22"/>
    <d v="2025-09-28T00:00:00"/>
    <x v="1"/>
    <n v="7"/>
    <n v="8"/>
    <x v="48"/>
    <n v="4"/>
    <n v="0"/>
    <n v="4"/>
    <n v="0"/>
    <n v="0"/>
    <n v="-1"/>
  </r>
  <r>
    <n v="22"/>
    <d v="2025-09-28T00:00:00"/>
    <x v="1"/>
    <n v="8"/>
    <n v="7"/>
    <x v="43"/>
    <n v="3"/>
    <n v="0"/>
    <n v="3"/>
    <n v="0"/>
    <n v="0"/>
    <n v="1"/>
  </r>
  <r>
    <n v="22"/>
    <d v="2025-09-28T00:00:00"/>
    <x v="1"/>
    <n v="9"/>
    <n v="11"/>
    <x v="51"/>
    <n v="2"/>
    <n v="0"/>
    <n v="2"/>
    <n v="0"/>
    <n v="0"/>
    <n v="-2"/>
  </r>
  <r>
    <n v="22"/>
    <d v="2025-09-28T00:00:00"/>
    <x v="1"/>
    <n v="10"/>
    <n v="6"/>
    <x v="46"/>
    <n v="1"/>
    <n v="0"/>
    <n v="1"/>
    <n v="0"/>
    <n v="0"/>
    <n v="4"/>
  </r>
  <r>
    <n v="23"/>
    <d v="2025-10-05T00:00:00"/>
    <x v="0"/>
    <n v="1"/>
    <n v="2"/>
    <x v="38"/>
    <n v="10"/>
    <n v="9"/>
    <n v="19"/>
    <n v="1"/>
    <n v="1"/>
    <n v="-1"/>
  </r>
  <r>
    <n v="23"/>
    <d v="2025-10-05T00:00:00"/>
    <x v="0"/>
    <n v="2"/>
    <n v="1"/>
    <x v="34"/>
    <n v="9"/>
    <n v="7"/>
    <n v="16"/>
    <n v="0"/>
    <n v="1"/>
    <n v="1"/>
  </r>
  <r>
    <n v="23"/>
    <d v="2025-10-05T00:00:00"/>
    <x v="0"/>
    <n v="3"/>
    <n v="4"/>
    <x v="41"/>
    <n v="8"/>
    <n v="5"/>
    <n v="13"/>
    <n v="0"/>
    <n v="1"/>
    <n v="-1"/>
  </r>
  <r>
    <n v="23"/>
    <d v="2025-10-05T00:00:00"/>
    <x v="0"/>
    <n v="4"/>
    <n v="3"/>
    <x v="35"/>
    <n v="7"/>
    <n v="3"/>
    <n v="10"/>
    <n v="0"/>
    <n v="0"/>
    <n v="1"/>
  </r>
  <r>
    <n v="23"/>
    <d v="2025-10-05T00:00:00"/>
    <x v="0"/>
    <n v="5"/>
    <n v="5"/>
    <x v="37"/>
    <n v="6"/>
    <n v="1"/>
    <n v="7"/>
    <n v="0"/>
    <n v="0"/>
    <n v="0"/>
  </r>
  <r>
    <n v="23"/>
    <d v="2025-10-05T00:00:00"/>
    <x v="0"/>
    <n v="6"/>
    <n v="7"/>
    <x v="44"/>
    <n v="5"/>
    <n v="0"/>
    <n v="5"/>
    <n v="0"/>
    <n v="0"/>
    <n v="-1"/>
  </r>
  <r>
    <n v="23"/>
    <d v="2025-10-05T00:00:00"/>
    <x v="0"/>
    <n v="7"/>
    <n v="6"/>
    <x v="23"/>
    <n v="4"/>
    <n v="0"/>
    <n v="4"/>
    <n v="0"/>
    <n v="0"/>
    <n v="1"/>
  </r>
  <r>
    <n v="23"/>
    <d v="2025-10-05T00:00:00"/>
    <x v="0"/>
    <n v="8"/>
    <n v="8"/>
    <x v="47"/>
    <n v="3"/>
    <n v="0"/>
    <n v="3"/>
    <n v="0"/>
    <n v="0"/>
    <n v="0"/>
  </r>
  <r>
    <n v="23"/>
    <d v="2025-10-05T00:00:00"/>
    <x v="0"/>
    <n v="9"/>
    <n v="10"/>
    <x v="50"/>
    <n v="2"/>
    <n v="0"/>
    <n v="2"/>
    <n v="0"/>
    <n v="0"/>
    <n v="-1"/>
  </r>
  <r>
    <n v="23"/>
    <d v="2025-10-05T00:00:00"/>
    <x v="0"/>
    <n v="10"/>
    <n v="9"/>
    <x v="26"/>
    <n v="1"/>
    <n v="0"/>
    <n v="1"/>
    <n v="0"/>
    <n v="0"/>
    <n v="1"/>
  </r>
  <r>
    <n v="23"/>
    <d v="2025-10-05T00:00:00"/>
    <x v="1"/>
    <n v="1"/>
    <n v="1"/>
    <x v="40"/>
    <n v="10"/>
    <n v="9"/>
    <n v="19"/>
    <n v="1"/>
    <n v="1"/>
    <n v="0"/>
  </r>
  <r>
    <n v="23"/>
    <d v="2025-10-05T00:00:00"/>
    <x v="1"/>
    <n v="2"/>
    <n v="2"/>
    <x v="42"/>
    <n v="9"/>
    <n v="7"/>
    <n v="16"/>
    <n v="0"/>
    <n v="1"/>
    <n v="0"/>
  </r>
  <r>
    <n v="23"/>
    <d v="2025-10-05T00:00:00"/>
    <x v="1"/>
    <n v="3"/>
    <n v="4"/>
    <x v="45"/>
    <n v="8"/>
    <n v="5"/>
    <n v="13"/>
    <n v="0"/>
    <n v="1"/>
    <n v="-1"/>
  </r>
  <r>
    <n v="23"/>
    <d v="2025-10-05T00:00:00"/>
    <x v="1"/>
    <n v="4"/>
    <n v="3"/>
    <x v="31"/>
    <n v="7"/>
    <n v="3"/>
    <n v="10"/>
    <n v="0"/>
    <n v="0"/>
    <n v="1"/>
  </r>
  <r>
    <n v="23"/>
    <d v="2025-10-05T00:00:00"/>
    <x v="1"/>
    <n v="5"/>
    <n v="6"/>
    <x v="49"/>
    <n v="6"/>
    <n v="1"/>
    <n v="7"/>
    <n v="0"/>
    <n v="0"/>
    <n v="-1"/>
  </r>
  <r>
    <n v="23"/>
    <d v="2025-10-05T00:00:00"/>
    <x v="1"/>
    <n v="6"/>
    <n v="7"/>
    <x v="48"/>
    <n v="5"/>
    <n v="0"/>
    <n v="5"/>
    <n v="0"/>
    <n v="0"/>
    <n v="-1"/>
  </r>
  <r>
    <n v="23"/>
    <d v="2025-10-05T00:00:00"/>
    <x v="1"/>
    <n v="7"/>
    <n v="5"/>
    <x v="39"/>
    <n v="4"/>
    <n v="0"/>
    <n v="4"/>
    <n v="0"/>
    <n v="0"/>
    <n v="2"/>
  </r>
  <r>
    <n v="23"/>
    <d v="2025-10-05T00:00:00"/>
    <x v="1"/>
    <n v="8"/>
    <n v="9"/>
    <x v="51"/>
    <n v="3"/>
    <n v="0"/>
    <n v="3"/>
    <n v="0"/>
    <n v="0"/>
    <n v="-1"/>
  </r>
  <r>
    <n v="23"/>
    <d v="2025-10-05T00:00:00"/>
    <x v="1"/>
    <n v="9"/>
    <n v="8"/>
    <x v="43"/>
    <n v="2"/>
    <n v="0"/>
    <n v="2"/>
    <n v="0"/>
    <n v="0"/>
    <n v="1"/>
  </r>
  <r>
    <n v="23"/>
    <d v="2025-10-05T00:00:00"/>
    <x v="1"/>
    <n v="10"/>
    <n v="11"/>
    <x v="52"/>
    <n v="1"/>
    <n v="0"/>
    <n v="1"/>
    <n v="0"/>
    <n v="0"/>
    <n v="-1"/>
  </r>
  <r>
    <n v="24"/>
    <d v="2025-10-12T00:00:00"/>
    <x v="0"/>
    <n v="1"/>
    <n v="1"/>
    <x v="38"/>
    <n v="10"/>
    <n v="9"/>
    <n v="19"/>
    <n v="1"/>
    <n v="1"/>
    <n v="0"/>
  </r>
  <r>
    <n v="24"/>
    <d v="2025-10-12T00:00:00"/>
    <x v="0"/>
    <n v="2"/>
    <n v="3"/>
    <x v="41"/>
    <n v="9"/>
    <n v="7"/>
    <n v="16"/>
    <n v="0"/>
    <n v="1"/>
    <n v="-1"/>
  </r>
  <r>
    <n v="24"/>
    <d v="2025-10-12T00:00:00"/>
    <x v="0"/>
    <n v="3"/>
    <n v="2"/>
    <x v="34"/>
    <n v="8"/>
    <n v="5"/>
    <n v="13"/>
    <n v="0"/>
    <n v="1"/>
    <n v="1"/>
  </r>
  <r>
    <n v="24"/>
    <d v="2025-10-12T00:00:00"/>
    <x v="0"/>
    <n v="4"/>
    <n v="4"/>
    <x v="35"/>
    <n v="7"/>
    <n v="3"/>
    <n v="10"/>
    <n v="0"/>
    <n v="0"/>
    <n v="0"/>
  </r>
  <r>
    <n v="24"/>
    <d v="2025-10-12T00:00:00"/>
    <x v="0"/>
    <n v="5"/>
    <n v="8"/>
    <x v="47"/>
    <n v="6"/>
    <n v="1"/>
    <n v="7"/>
    <n v="0"/>
    <n v="0"/>
    <n v="-3"/>
  </r>
  <r>
    <n v="24"/>
    <d v="2025-10-12T00:00:00"/>
    <x v="0"/>
    <n v="6"/>
    <n v="5"/>
    <x v="37"/>
    <n v="5"/>
    <n v="0"/>
    <n v="5"/>
    <n v="0"/>
    <n v="0"/>
    <n v="1"/>
  </r>
  <r>
    <n v="24"/>
    <d v="2025-10-12T00:00:00"/>
    <x v="0"/>
    <n v="7"/>
    <n v="6"/>
    <x v="44"/>
    <n v="4"/>
    <n v="0"/>
    <n v="4"/>
    <n v="0"/>
    <n v="0"/>
    <n v="1"/>
  </r>
  <r>
    <n v="24"/>
    <d v="2025-10-12T00:00:00"/>
    <x v="0"/>
    <n v="8"/>
    <n v="9"/>
    <x v="50"/>
    <n v="3"/>
    <n v="0"/>
    <n v="3"/>
    <n v="0"/>
    <n v="0"/>
    <n v="-1"/>
  </r>
  <r>
    <n v="24"/>
    <d v="2025-10-12T00:00:00"/>
    <x v="0"/>
    <n v="9"/>
    <n v="11"/>
    <x v="53"/>
    <n v="2"/>
    <n v="0"/>
    <n v="2"/>
    <n v="0"/>
    <n v="0"/>
    <n v="-2"/>
  </r>
  <r>
    <n v="24"/>
    <d v="2025-10-12T00:00:00"/>
    <x v="0"/>
    <n v="10"/>
    <n v="7"/>
    <x v="23"/>
    <n v="1"/>
    <n v="0"/>
    <n v="1"/>
    <n v="0"/>
    <n v="0"/>
    <n v="3"/>
  </r>
  <r>
    <n v="24"/>
    <d v="2025-10-12T00:00:00"/>
    <x v="1"/>
    <n v="1"/>
    <n v="2"/>
    <x v="42"/>
    <n v="10"/>
    <n v="9"/>
    <n v="19"/>
    <n v="1"/>
    <n v="1"/>
    <n v="-1"/>
  </r>
  <r>
    <n v="24"/>
    <d v="2025-10-12T00:00:00"/>
    <x v="1"/>
    <n v="2"/>
    <n v="1"/>
    <x v="40"/>
    <n v="9"/>
    <n v="7"/>
    <n v="16"/>
    <n v="0"/>
    <n v="1"/>
    <n v="1"/>
  </r>
  <r>
    <n v="24"/>
    <d v="2025-10-12T00:00:00"/>
    <x v="1"/>
    <n v="3"/>
    <n v="3"/>
    <x v="45"/>
    <n v="8"/>
    <n v="5"/>
    <n v="13"/>
    <n v="0"/>
    <n v="1"/>
    <n v="0"/>
  </r>
  <r>
    <n v="24"/>
    <d v="2025-10-12T00:00:00"/>
    <x v="1"/>
    <n v="4"/>
    <n v="5"/>
    <x v="49"/>
    <n v="7"/>
    <n v="3"/>
    <n v="10"/>
    <n v="0"/>
    <n v="0"/>
    <n v="-1"/>
  </r>
  <r>
    <n v="24"/>
    <d v="2025-10-12T00:00:00"/>
    <x v="1"/>
    <n v="5"/>
    <n v="6"/>
    <x v="48"/>
    <n v="6"/>
    <n v="1"/>
    <n v="7"/>
    <n v="0"/>
    <n v="0"/>
    <n v="-1"/>
  </r>
  <r>
    <n v="24"/>
    <d v="2025-10-12T00:00:00"/>
    <x v="1"/>
    <n v="6"/>
    <n v="8"/>
    <x v="51"/>
    <n v="5"/>
    <n v="0"/>
    <n v="5"/>
    <n v="0"/>
    <n v="0"/>
    <n v="-2"/>
  </r>
  <r>
    <n v="24"/>
    <d v="2025-10-12T00:00:00"/>
    <x v="1"/>
    <n v="7"/>
    <n v="4"/>
    <x v="31"/>
    <n v="4"/>
    <n v="0"/>
    <n v="4"/>
    <n v="0"/>
    <n v="0"/>
    <n v="3"/>
  </r>
  <r>
    <n v="24"/>
    <d v="2025-10-12T00:00:00"/>
    <x v="1"/>
    <n v="8"/>
    <n v="10"/>
    <x v="52"/>
    <n v="3"/>
    <n v="0"/>
    <n v="3"/>
    <n v="0"/>
    <n v="0"/>
    <n v="-2"/>
  </r>
  <r>
    <n v="24"/>
    <d v="2025-10-12T00:00:00"/>
    <x v="1"/>
    <n v="9"/>
    <n v="7"/>
    <x v="39"/>
    <n v="2"/>
    <n v="0"/>
    <n v="2"/>
    <n v="0"/>
    <n v="0"/>
    <n v="2"/>
  </r>
  <r>
    <n v="24"/>
    <d v="2025-10-12T00:00:00"/>
    <x v="1"/>
    <n v="10"/>
    <n v="9"/>
    <x v="43"/>
    <n v="1"/>
    <n v="0"/>
    <n v="1"/>
    <n v="0"/>
    <n v="0"/>
    <n v="1"/>
  </r>
  <r>
    <n v="25"/>
    <d v="2025-10-19T00:00:00"/>
    <x v="0"/>
    <n v="1"/>
    <n v="1"/>
    <x v="38"/>
    <n v="10"/>
    <n v="9"/>
    <n v="19"/>
    <n v="1"/>
    <n v="1"/>
    <n v="0"/>
  </r>
  <r>
    <n v="25"/>
    <d v="2025-10-19T00:00:00"/>
    <x v="0"/>
    <n v="2"/>
    <n v="2"/>
    <x v="41"/>
    <n v="9"/>
    <n v="7"/>
    <n v="16"/>
    <n v="0"/>
    <n v="1"/>
    <n v="0"/>
  </r>
  <r>
    <n v="25"/>
    <d v="2025-10-19T00:00:00"/>
    <x v="0"/>
    <n v="3"/>
    <n v="5"/>
    <x v="47"/>
    <n v="8"/>
    <n v="5"/>
    <n v="13"/>
    <n v="0"/>
    <n v="1"/>
    <n v="-2"/>
  </r>
  <r>
    <n v="25"/>
    <d v="2025-10-19T00:00:00"/>
    <x v="0"/>
    <n v="4"/>
    <n v="3"/>
    <x v="34"/>
    <n v="7"/>
    <n v="3"/>
    <n v="10"/>
    <n v="0"/>
    <n v="0"/>
    <n v="1"/>
  </r>
  <r>
    <n v="25"/>
    <d v="2025-10-19T00:00:00"/>
    <x v="0"/>
    <n v="5"/>
    <n v="4"/>
    <x v="35"/>
    <n v="6"/>
    <n v="1"/>
    <n v="7"/>
    <n v="0"/>
    <n v="0"/>
    <n v="1"/>
  </r>
  <r>
    <n v="25"/>
    <d v="2025-10-19T00:00:00"/>
    <x v="0"/>
    <n v="6"/>
    <n v="6"/>
    <x v="37"/>
    <n v="5"/>
    <n v="0"/>
    <n v="5"/>
    <n v="0"/>
    <n v="0"/>
    <n v="0"/>
  </r>
  <r>
    <n v="25"/>
    <d v="2025-10-19T00:00:00"/>
    <x v="0"/>
    <n v="7"/>
    <n v="8"/>
    <x v="50"/>
    <n v="4"/>
    <n v="0"/>
    <n v="4"/>
    <n v="0"/>
    <n v="0"/>
    <n v="-1"/>
  </r>
  <r>
    <n v="25"/>
    <d v="2025-10-19T00:00:00"/>
    <x v="0"/>
    <n v="8"/>
    <n v="9"/>
    <x v="53"/>
    <n v="3"/>
    <n v="0"/>
    <n v="3"/>
    <n v="0"/>
    <n v="0"/>
    <n v="-1"/>
  </r>
  <r>
    <n v="25"/>
    <d v="2025-10-19T00:00:00"/>
    <x v="0"/>
    <n v="9"/>
    <n v="7"/>
    <x v="44"/>
    <n v="2"/>
    <n v="0"/>
    <n v="2"/>
    <n v="0"/>
    <n v="0"/>
    <n v="2"/>
  </r>
  <r>
    <n v="25"/>
    <d v="2025-10-19T00:00:00"/>
    <x v="0"/>
    <n v="10"/>
    <n v="11"/>
    <x v="54"/>
    <n v="1"/>
    <n v="0"/>
    <n v="1"/>
    <n v="0"/>
    <n v="0"/>
    <n v="-1"/>
  </r>
  <r>
    <n v="25"/>
    <d v="2025-10-19T00:00:00"/>
    <x v="1"/>
    <n v="1"/>
    <n v="1"/>
    <x v="42"/>
    <n v="10"/>
    <n v="9"/>
    <n v="19"/>
    <n v="1"/>
    <n v="1"/>
    <n v="0"/>
  </r>
  <r>
    <n v="25"/>
    <d v="2025-10-19T00:00:00"/>
    <x v="1"/>
    <n v="2"/>
    <n v="3"/>
    <x v="45"/>
    <n v="9"/>
    <n v="7"/>
    <n v="16"/>
    <n v="0"/>
    <n v="1"/>
    <n v="-1"/>
  </r>
  <r>
    <n v="25"/>
    <d v="2025-10-19T00:00:00"/>
    <x v="1"/>
    <n v="3"/>
    <n v="4"/>
    <x v="49"/>
    <n v="8"/>
    <n v="5"/>
    <n v="13"/>
    <n v="0"/>
    <n v="1"/>
    <n v="-1"/>
  </r>
  <r>
    <n v="25"/>
    <d v="2025-10-19T00:00:00"/>
    <x v="1"/>
    <n v="4"/>
    <n v="6"/>
    <x v="51"/>
    <n v="7"/>
    <n v="3"/>
    <n v="10"/>
    <n v="0"/>
    <n v="0"/>
    <n v="-2"/>
  </r>
  <r>
    <n v="25"/>
    <d v="2025-10-19T00:00:00"/>
    <x v="1"/>
    <n v="5"/>
    <n v="2"/>
    <x v="40"/>
    <n v="6"/>
    <n v="1"/>
    <n v="7"/>
    <n v="0"/>
    <n v="0"/>
    <n v="3"/>
  </r>
  <r>
    <n v="25"/>
    <d v="2025-10-19T00:00:00"/>
    <x v="1"/>
    <n v="6"/>
    <n v="5"/>
    <x v="48"/>
    <n v="5"/>
    <n v="0"/>
    <n v="5"/>
    <n v="0"/>
    <n v="0"/>
    <n v="1"/>
  </r>
  <r>
    <n v="25"/>
    <d v="2025-10-19T00:00:00"/>
    <x v="1"/>
    <n v="7"/>
    <n v="8"/>
    <x v="52"/>
    <n v="4"/>
    <n v="0"/>
    <n v="4"/>
    <n v="0"/>
    <n v="0"/>
    <n v="-1"/>
  </r>
  <r>
    <n v="25"/>
    <d v="2025-10-19T00:00:00"/>
    <x v="1"/>
    <n v="8"/>
    <n v="11"/>
    <x v="55"/>
    <n v="3"/>
    <n v="0"/>
    <n v="3"/>
    <n v="0"/>
    <n v="0"/>
    <n v="-3"/>
  </r>
  <r>
    <n v="25"/>
    <d v="2025-10-19T00:00:00"/>
    <x v="1"/>
    <n v="9"/>
    <n v="11"/>
    <x v="56"/>
    <n v="2"/>
    <n v="0"/>
    <n v="2"/>
    <n v="0"/>
    <n v="0"/>
    <n v="-2"/>
  </r>
  <r>
    <n v="25"/>
    <d v="2025-10-19T00:00:00"/>
    <x v="1"/>
    <n v="10"/>
    <n v="9"/>
    <x v="39"/>
    <n v="1"/>
    <n v="0"/>
    <n v="1"/>
    <n v="0"/>
    <n v="0"/>
    <n v="1"/>
  </r>
  <r>
    <n v="26"/>
    <d v="2025-10-26T00:00:00"/>
    <x v="0"/>
    <n v="1"/>
    <n v="2"/>
    <x v="41"/>
    <n v="10"/>
    <n v="9"/>
    <n v="19"/>
    <n v="1"/>
    <n v="1"/>
    <n v="-1"/>
  </r>
  <r>
    <n v="26"/>
    <d v="2025-10-26T00:00:00"/>
    <x v="0"/>
    <n v="2"/>
    <n v="1"/>
    <x v="38"/>
    <n v="9"/>
    <n v="7"/>
    <n v="16"/>
    <n v="0"/>
    <n v="1"/>
    <n v="1"/>
  </r>
  <r>
    <n v="26"/>
    <d v="2025-10-26T00:00:00"/>
    <x v="0"/>
    <n v="3"/>
    <n v="3"/>
    <x v="47"/>
    <n v="8"/>
    <n v="5"/>
    <n v="13"/>
    <n v="0"/>
    <n v="1"/>
    <n v="0"/>
  </r>
  <r>
    <n v="26"/>
    <d v="2025-10-26T00:00:00"/>
    <x v="0"/>
    <n v="4"/>
    <n v="4"/>
    <x v="34"/>
    <n v="7"/>
    <n v="3"/>
    <n v="10"/>
    <n v="0"/>
    <n v="0"/>
    <n v="0"/>
  </r>
  <r>
    <n v="26"/>
    <d v="2025-10-26T00:00:00"/>
    <x v="0"/>
    <n v="5"/>
    <n v="5"/>
    <x v="35"/>
    <n v="6"/>
    <n v="1"/>
    <n v="7"/>
    <n v="0"/>
    <n v="0"/>
    <n v="0"/>
  </r>
  <r>
    <n v="26"/>
    <d v="2025-10-26T00:00:00"/>
    <x v="0"/>
    <n v="6"/>
    <n v="7"/>
    <x v="50"/>
    <n v="5"/>
    <n v="0"/>
    <n v="5"/>
    <n v="0"/>
    <n v="0"/>
    <n v="-1"/>
  </r>
  <r>
    <n v="26"/>
    <d v="2025-10-26T00:00:00"/>
    <x v="0"/>
    <n v="7"/>
    <n v="8"/>
    <x v="53"/>
    <n v="4"/>
    <n v="0"/>
    <n v="4"/>
    <n v="0"/>
    <n v="0"/>
    <n v="-1"/>
  </r>
  <r>
    <n v="26"/>
    <d v="2025-10-26T00:00:00"/>
    <x v="0"/>
    <n v="8"/>
    <n v="6"/>
    <x v="37"/>
    <n v="3"/>
    <n v="0"/>
    <n v="3"/>
    <n v="0"/>
    <n v="0"/>
    <n v="2"/>
  </r>
  <r>
    <n v="26"/>
    <d v="2025-10-26T00:00:00"/>
    <x v="0"/>
    <n v="9"/>
    <n v="10"/>
    <x v="54"/>
    <n v="2"/>
    <n v="0"/>
    <n v="2"/>
    <n v="0"/>
    <n v="0"/>
    <n v="-1"/>
  </r>
  <r>
    <n v="26"/>
    <d v="2025-10-26T00:00:00"/>
    <x v="0"/>
    <n v="10"/>
    <n v="9"/>
    <x v="44"/>
    <n v="1"/>
    <n v="0"/>
    <n v="1"/>
    <n v="0"/>
    <n v="0"/>
    <n v="1"/>
  </r>
  <r>
    <n v="26"/>
    <d v="2025-10-26T00:00:00"/>
    <x v="1"/>
    <n v="1"/>
    <n v="1"/>
    <x v="42"/>
    <n v="10"/>
    <n v="9"/>
    <n v="19"/>
    <n v="1"/>
    <n v="1"/>
    <n v="0"/>
  </r>
  <r>
    <n v="26"/>
    <d v="2025-10-26T00:00:00"/>
    <x v="1"/>
    <n v="2"/>
    <n v="2"/>
    <x v="45"/>
    <n v="9"/>
    <n v="7"/>
    <n v="16"/>
    <n v="0"/>
    <n v="1"/>
    <n v="0"/>
  </r>
  <r>
    <n v="26"/>
    <d v="2025-10-26T00:00:00"/>
    <x v="1"/>
    <n v="3"/>
    <n v="3"/>
    <x v="49"/>
    <n v="8"/>
    <n v="5"/>
    <n v="13"/>
    <n v="0"/>
    <n v="1"/>
    <n v="0"/>
  </r>
  <r>
    <n v="26"/>
    <d v="2025-10-26T00:00:00"/>
    <x v="1"/>
    <n v="4"/>
    <n v="4"/>
    <x v="51"/>
    <n v="7"/>
    <n v="3"/>
    <n v="10"/>
    <n v="0"/>
    <n v="0"/>
    <n v="0"/>
  </r>
  <r>
    <n v="26"/>
    <d v="2025-10-26T00:00:00"/>
    <x v="1"/>
    <n v="5"/>
    <n v="7"/>
    <x v="52"/>
    <n v="6"/>
    <n v="1"/>
    <n v="7"/>
    <n v="0"/>
    <n v="0"/>
    <n v="-2"/>
  </r>
  <r>
    <n v="26"/>
    <d v="2025-10-26T00:00:00"/>
    <x v="1"/>
    <n v="6"/>
    <n v="6"/>
    <x v="48"/>
    <n v="5"/>
    <n v="0"/>
    <n v="5"/>
    <n v="0"/>
    <n v="0"/>
    <n v="0"/>
  </r>
  <r>
    <n v="26"/>
    <d v="2025-10-26T00:00:00"/>
    <x v="1"/>
    <n v="7"/>
    <n v="8"/>
    <x v="55"/>
    <n v="4"/>
    <n v="0"/>
    <n v="4"/>
    <n v="0"/>
    <n v="0"/>
    <n v="-1"/>
  </r>
  <r>
    <n v="26"/>
    <d v="2025-10-26T00:00:00"/>
    <x v="1"/>
    <n v="8"/>
    <n v="9"/>
    <x v="56"/>
    <n v="3"/>
    <n v="0"/>
    <n v="3"/>
    <n v="0"/>
    <n v="0"/>
    <n v="-1"/>
  </r>
  <r>
    <n v="26"/>
    <d v="2025-10-26T00:00:00"/>
    <x v="1"/>
    <n v="9"/>
    <n v="5"/>
    <x v="40"/>
    <n v="2"/>
    <n v="0"/>
    <n v="2"/>
    <n v="0"/>
    <n v="0"/>
    <n v="4"/>
  </r>
  <r>
    <n v="26"/>
    <d v="2025-10-26T00:00:00"/>
    <x v="1"/>
    <n v="10"/>
    <n v="11"/>
    <x v="57"/>
    <n v="1"/>
    <n v="0"/>
    <n v="1"/>
    <n v="0"/>
    <n v="0"/>
    <n v="-1"/>
  </r>
  <r>
    <m/>
    <m/>
    <x v="2"/>
    <m/>
    <m/>
    <x v="58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C0E97-B135-46CC-A784-849665242441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36" firstHeaderRow="0" firstDataRow="1" firstDataCol="1" rowPageCount="1" colPageCount="1"/>
  <pivotFields count="9"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axis="axisRow" showAll="0" sortType="descending">
      <items count="134">
        <item m="1" x="77"/>
        <item m="1" x="122"/>
        <item x="7"/>
        <item m="1" x="90"/>
        <item m="1" x="85"/>
        <item m="1" x="125"/>
        <item m="1" x="109"/>
        <item m="1" x="110"/>
        <item m="1" x="83"/>
        <item m="1" x="81"/>
        <item m="1" x="82"/>
        <item m="1" x="118"/>
        <item m="1" x="117"/>
        <item m="1" x="94"/>
        <item m="1" x="88"/>
        <item m="1" x="126"/>
        <item m="1" x="63"/>
        <item m="1" x="97"/>
        <item x="2"/>
        <item m="1" x="72"/>
        <item x="1"/>
        <item m="1" x="84"/>
        <item m="1" x="104"/>
        <item m="1" x="70"/>
        <item m="1" x="123"/>
        <item m="1" x="101"/>
        <item m="1" x="115"/>
        <item m="1" x="73"/>
        <item m="1" x="105"/>
        <item m="1" x="103"/>
        <item m="1" x="69"/>
        <item x="9"/>
        <item m="1" x="61"/>
        <item m="1" x="60"/>
        <item m="1" x="78"/>
        <item m="1" x="86"/>
        <item x="16"/>
        <item m="1" x="64"/>
        <item m="1" x="71"/>
        <item m="1" x="121"/>
        <item m="1" x="93"/>
        <item x="11"/>
        <item m="1" x="129"/>
        <item m="1" x="102"/>
        <item m="1" x="108"/>
        <item m="1" x="67"/>
        <item x="3"/>
        <item m="1" x="68"/>
        <item x="0"/>
        <item x="17"/>
        <item m="1" x="66"/>
        <item m="1" x="116"/>
        <item m="1" x="127"/>
        <item m="1" x="114"/>
        <item m="1" x="124"/>
        <item m="1" x="130"/>
        <item m="1" x="113"/>
        <item m="1" x="92"/>
        <item m="1" x="98"/>
        <item m="1" x="79"/>
        <item m="1" x="65"/>
        <item m="1" x="75"/>
        <item m="1" x="80"/>
        <item m="1" x="99"/>
        <item m="1" x="107"/>
        <item m="1" x="131"/>
        <item m="1" x="120"/>
        <item m="1" x="89"/>
        <item m="1" x="132"/>
        <item m="1" x="119"/>
        <item m="1" x="74"/>
        <item m="1" x="128"/>
        <item x="10"/>
        <item m="1" x="106"/>
        <item m="1" x="100"/>
        <item m="1" x="76"/>
        <item m="1" x="95"/>
        <item m="1" x="112"/>
        <item m="1" x="96"/>
        <item x="4"/>
        <item m="1" x="111"/>
        <item m="1" x="62"/>
        <item m="1" x="91"/>
        <item m="1" x="87"/>
        <item x="58"/>
        <item x="15"/>
        <item x="5"/>
        <item x="12"/>
        <item x="14"/>
        <item x="6"/>
        <item x="13"/>
        <item x="19"/>
        <item x="8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59"/>
        <item x="34"/>
        <item x="35"/>
        <item x="36"/>
        <item x="33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dataField="1" showAll="0"/>
  </pivotFields>
  <rowFields count="1">
    <field x="5"/>
  </rowFields>
  <rowItems count="33">
    <i>
      <x v="105"/>
    </i>
    <i>
      <x v="96"/>
    </i>
    <i>
      <x v="87"/>
    </i>
    <i>
      <x v="104"/>
    </i>
    <i>
      <x v="115"/>
    </i>
    <i>
      <x v="93"/>
    </i>
    <i>
      <x v="117"/>
    </i>
    <i>
      <x v="102"/>
    </i>
    <i>
      <x v="90"/>
    </i>
    <i>
      <x v="72"/>
    </i>
    <i>
      <x v="120"/>
    </i>
    <i>
      <x v="114"/>
    </i>
    <i>
      <x v="99"/>
    </i>
    <i>
      <x v="98"/>
    </i>
    <i>
      <x v="88"/>
    </i>
    <i>
      <x v="124"/>
    </i>
    <i>
      <x v="111"/>
    </i>
    <i>
      <x v="41"/>
    </i>
    <i>
      <x v="85"/>
    </i>
    <i>
      <x v="123"/>
    </i>
    <i>
      <x v="126"/>
    </i>
    <i>
      <x v="118"/>
    </i>
    <i>
      <x v="110"/>
    </i>
    <i>
      <x v="127"/>
    </i>
    <i>
      <x v="121"/>
    </i>
    <i>
      <x v="49"/>
    </i>
    <i>
      <x v="106"/>
    </i>
    <i>
      <x v="130"/>
    </i>
    <i>
      <x v="91"/>
    </i>
    <i>
      <x v="131"/>
    </i>
    <i>
      <x v="36"/>
    </i>
    <i>
      <x v="13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0" hier="-1"/>
  </pageFields>
  <dataFields count="3">
    <dataField name="Suma de Valor" fld="6" baseField="0" baseItem="0"/>
    <dataField name="Suma de Bonus" fld="7" baseField="0" baseItem="0"/>
    <dataField name="Suma de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C26DF-B493-4190-8589-CF6E7CEDD874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36" firstHeaderRow="0" firstDataRow="1" firstDataCol="1" rowPageCount="1" colPageCount="1"/>
  <pivotFields count="12">
    <pivotField showAll="0"/>
    <pivotField showAll="0"/>
    <pivotField axis="axisPage" showAll="0">
      <items count="4">
        <item x="1"/>
        <item x="0"/>
        <item x="2"/>
        <item t="default"/>
      </items>
    </pivotField>
    <pivotField dataField="1" showAll="0"/>
    <pivotField showAll="0"/>
    <pivotField axis="axisRow" showAll="0" sortType="descending">
      <items count="134">
        <item m="1" x="77"/>
        <item m="1" x="122"/>
        <item x="7"/>
        <item m="1" x="90"/>
        <item m="1" x="85"/>
        <item m="1" x="125"/>
        <item m="1" x="109"/>
        <item m="1" x="110"/>
        <item m="1" x="83"/>
        <item m="1" x="81"/>
        <item m="1" x="82"/>
        <item m="1" x="118"/>
        <item m="1" x="117"/>
        <item m="1" x="94"/>
        <item m="1" x="88"/>
        <item m="1" x="126"/>
        <item m="1" x="63"/>
        <item m="1" x="97"/>
        <item x="2"/>
        <item m="1" x="72"/>
        <item x="1"/>
        <item m="1" x="84"/>
        <item m="1" x="104"/>
        <item m="1" x="70"/>
        <item m="1" x="123"/>
        <item m="1" x="101"/>
        <item m="1" x="115"/>
        <item m="1" x="73"/>
        <item m="1" x="105"/>
        <item m="1" x="103"/>
        <item m="1" x="69"/>
        <item x="9"/>
        <item m="1" x="61"/>
        <item m="1" x="60"/>
        <item m="1" x="78"/>
        <item m="1" x="86"/>
        <item x="16"/>
        <item m="1" x="64"/>
        <item m="1" x="71"/>
        <item m="1" x="121"/>
        <item m="1" x="93"/>
        <item x="11"/>
        <item m="1" x="129"/>
        <item m="1" x="102"/>
        <item m="1" x="108"/>
        <item x="15"/>
        <item m="1" x="67"/>
        <item x="3"/>
        <item m="1" x="68"/>
        <item x="0"/>
        <item x="17"/>
        <item m="1" x="66"/>
        <item m="1" x="116"/>
        <item m="1" x="127"/>
        <item m="1" x="114"/>
        <item m="1" x="124"/>
        <item m="1" x="130"/>
        <item m="1" x="113"/>
        <item m="1" x="92"/>
        <item m="1" x="98"/>
        <item m="1" x="79"/>
        <item m="1" x="65"/>
        <item m="1" x="75"/>
        <item m="1" x="80"/>
        <item m="1" x="99"/>
        <item m="1" x="107"/>
        <item m="1" x="131"/>
        <item m="1" x="120"/>
        <item m="1" x="89"/>
        <item m="1" x="132"/>
        <item m="1" x="119"/>
        <item m="1" x="74"/>
        <item m="1" x="128"/>
        <item x="10"/>
        <item m="1" x="106"/>
        <item m="1" x="100"/>
        <item m="1" x="76"/>
        <item m="1" x="95"/>
        <item m="1" x="112"/>
        <item m="1" x="96"/>
        <item x="4"/>
        <item m="1" x="111"/>
        <item m="1" x="62"/>
        <item m="1" x="91"/>
        <item m="1" x="87"/>
        <item x="58"/>
        <item x="5"/>
        <item x="12"/>
        <item x="14"/>
        <item x="6"/>
        <item x="13"/>
        <item x="19"/>
        <item x="8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59"/>
        <item x="34"/>
        <item x="35"/>
        <item x="36"/>
        <item x="33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5"/>
  </rowFields>
  <rowItems count="33">
    <i>
      <x v="105"/>
    </i>
    <i>
      <x v="96"/>
    </i>
    <i>
      <x v="87"/>
    </i>
    <i>
      <x v="104"/>
    </i>
    <i>
      <x v="115"/>
    </i>
    <i>
      <x v="93"/>
    </i>
    <i>
      <x v="117"/>
    </i>
    <i>
      <x v="102"/>
    </i>
    <i>
      <x v="90"/>
    </i>
    <i>
      <x v="73"/>
    </i>
    <i>
      <x v="120"/>
    </i>
    <i>
      <x v="114"/>
    </i>
    <i>
      <x v="99"/>
    </i>
    <i>
      <x v="98"/>
    </i>
    <i>
      <x v="88"/>
    </i>
    <i>
      <x v="124"/>
    </i>
    <i>
      <x v="111"/>
    </i>
    <i>
      <x v="41"/>
    </i>
    <i>
      <x v="45"/>
    </i>
    <i>
      <x v="123"/>
    </i>
    <i>
      <x v="126"/>
    </i>
    <i>
      <x v="118"/>
    </i>
    <i>
      <x v="110"/>
    </i>
    <i>
      <x v="127"/>
    </i>
    <i>
      <x v="121"/>
    </i>
    <i>
      <x v="50"/>
    </i>
    <i>
      <x v="106"/>
    </i>
    <i>
      <x v="130"/>
    </i>
    <i>
      <x v="91"/>
    </i>
    <i>
      <x v="131"/>
    </i>
    <i>
      <x v="36"/>
    </i>
    <i>
      <x v="13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2" item="0" hier="-1"/>
  </pageFields>
  <dataFields count="7">
    <dataField name="Suma de Total" fld="8" baseField="0" baseItem="0"/>
    <dataField name="Cuenta de Posición" fld="3" subtotal="count" baseField="5" baseItem="21"/>
    <dataField name="Mín. de Posición" fld="3" subtotal="min" baseField="5" baseItem="21"/>
    <dataField name="Suma de #1" fld="9" baseField="0" baseItem="0"/>
    <dataField name="Suma de Top3" fld="10" baseField="0" baseItem="0"/>
    <dataField name="Mín. de Delta" fld="11" subtotal="min" baseField="5" baseItem="21"/>
    <dataField name="Máx. de Delta" fld="11" subtotal="max" baseField="5" baseItem="2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E4B5-34C6-49F4-9812-52055268142B}">
  <dimension ref="A1:L521"/>
  <sheetViews>
    <sheetView tabSelected="1" workbookViewId="0">
      <pane ySplit="1" topLeftCell="A495" activePane="bottomLeft" state="frozen"/>
      <selection pane="bottomLeft" activeCell="L521" sqref="L521"/>
    </sheetView>
  </sheetViews>
  <sheetFormatPr baseColWidth="10" defaultRowHeight="15" x14ac:dyDescent="0.25"/>
  <sheetData>
    <row r="1" spans="1:12" x14ac:dyDescent="0.25">
      <c r="A1" s="4" t="s">
        <v>21</v>
      </c>
      <c r="B1" s="4" t="s">
        <v>2</v>
      </c>
      <c r="C1" s="4" t="s">
        <v>3</v>
      </c>
      <c r="D1" s="4" t="s">
        <v>5</v>
      </c>
      <c r="E1" s="4" t="s">
        <v>32</v>
      </c>
      <c r="F1" s="4" t="s">
        <v>6</v>
      </c>
      <c r="G1" s="4" t="s">
        <v>7</v>
      </c>
      <c r="H1" s="4" t="s">
        <v>22</v>
      </c>
      <c r="I1" s="4" t="s">
        <v>23</v>
      </c>
      <c r="J1" s="4" t="s">
        <v>27</v>
      </c>
      <c r="K1" s="4" t="s">
        <v>28</v>
      </c>
      <c r="L1" s="4" t="s">
        <v>33</v>
      </c>
    </row>
    <row r="2" spans="1:12" x14ac:dyDescent="0.25">
      <c r="A2">
        <v>1</v>
      </c>
      <c r="B2" s="1">
        <v>45669</v>
      </c>
      <c r="C2" t="s">
        <v>4</v>
      </c>
      <c r="D2">
        <v>1</v>
      </c>
      <c r="E2">
        <v>3</v>
      </c>
      <c r="F2" t="s">
        <v>20</v>
      </c>
      <c r="G2">
        <f t="shared" ref="G2:G13" si="0">11-D2</f>
        <v>10</v>
      </c>
      <c r="H2">
        <f t="shared" ref="H2:H13" si="1">IF(D2&lt;6,11-2*D2,0)</f>
        <v>9</v>
      </c>
      <c r="I2">
        <f t="shared" ref="I2:I13" si="2">G2+H2</f>
        <v>19</v>
      </c>
      <c r="J2">
        <f t="shared" ref="J2:J21" si="3">COUNTIF(D2,"=1")</f>
        <v>1</v>
      </c>
      <c r="K2">
        <f t="shared" ref="K2:K21" si="4">COUNTIF(D2,"&lt;4")</f>
        <v>1</v>
      </c>
      <c r="L2">
        <f t="shared" ref="L2:L21" si="5">D2-E2</f>
        <v>-2</v>
      </c>
    </row>
    <row r="3" spans="1:12" x14ac:dyDescent="0.25">
      <c r="A3">
        <v>1</v>
      </c>
      <c r="B3" s="1">
        <v>45669</v>
      </c>
      <c r="C3" t="s">
        <v>4</v>
      </c>
      <c r="D3">
        <v>2</v>
      </c>
      <c r="E3">
        <v>1</v>
      </c>
      <c r="F3" t="s">
        <v>11</v>
      </c>
      <c r="G3">
        <f t="shared" si="0"/>
        <v>9</v>
      </c>
      <c r="H3">
        <f t="shared" si="1"/>
        <v>7</v>
      </c>
      <c r="I3">
        <f t="shared" si="2"/>
        <v>16</v>
      </c>
      <c r="J3">
        <f t="shared" si="3"/>
        <v>0</v>
      </c>
      <c r="K3">
        <f t="shared" si="4"/>
        <v>1</v>
      </c>
      <c r="L3">
        <f t="shared" si="5"/>
        <v>1</v>
      </c>
    </row>
    <row r="4" spans="1:12" x14ac:dyDescent="0.25">
      <c r="A4">
        <v>1</v>
      </c>
      <c r="B4" s="1">
        <v>45669</v>
      </c>
      <c r="C4" t="s">
        <v>4</v>
      </c>
      <c r="D4">
        <v>3</v>
      </c>
      <c r="E4">
        <v>2</v>
      </c>
      <c r="F4" t="s">
        <v>10</v>
      </c>
      <c r="G4">
        <f t="shared" si="0"/>
        <v>8</v>
      </c>
      <c r="H4">
        <f t="shared" si="1"/>
        <v>5</v>
      </c>
      <c r="I4">
        <f t="shared" si="2"/>
        <v>13</v>
      </c>
      <c r="J4">
        <f t="shared" si="3"/>
        <v>0</v>
      </c>
      <c r="K4">
        <f t="shared" si="4"/>
        <v>1</v>
      </c>
      <c r="L4">
        <f t="shared" si="5"/>
        <v>1</v>
      </c>
    </row>
    <row r="5" spans="1:12" x14ac:dyDescent="0.25">
      <c r="A5">
        <v>1</v>
      </c>
      <c r="B5" s="1">
        <v>45669</v>
      </c>
      <c r="C5" t="s">
        <v>4</v>
      </c>
      <c r="D5">
        <v>4</v>
      </c>
      <c r="E5">
        <v>5</v>
      </c>
      <c r="F5" t="s">
        <v>14</v>
      </c>
      <c r="G5">
        <f t="shared" si="0"/>
        <v>7</v>
      </c>
      <c r="H5">
        <f t="shared" si="1"/>
        <v>3</v>
      </c>
      <c r="I5">
        <f t="shared" si="2"/>
        <v>10</v>
      </c>
      <c r="J5">
        <f t="shared" si="3"/>
        <v>0</v>
      </c>
      <c r="K5">
        <f t="shared" si="4"/>
        <v>0</v>
      </c>
      <c r="L5">
        <f t="shared" si="5"/>
        <v>-1</v>
      </c>
    </row>
    <row r="6" spans="1:12" x14ac:dyDescent="0.25">
      <c r="A6">
        <v>1</v>
      </c>
      <c r="B6" s="1">
        <v>45669</v>
      </c>
      <c r="C6" t="s">
        <v>4</v>
      </c>
      <c r="D6">
        <v>5</v>
      </c>
      <c r="E6">
        <v>4</v>
      </c>
      <c r="F6" t="s">
        <v>12</v>
      </c>
      <c r="G6">
        <f t="shared" si="0"/>
        <v>6</v>
      </c>
      <c r="H6">
        <f t="shared" si="1"/>
        <v>1</v>
      </c>
      <c r="I6">
        <f t="shared" si="2"/>
        <v>7</v>
      </c>
      <c r="J6">
        <f t="shared" si="3"/>
        <v>0</v>
      </c>
      <c r="K6">
        <f t="shared" si="4"/>
        <v>0</v>
      </c>
      <c r="L6">
        <f t="shared" si="5"/>
        <v>1</v>
      </c>
    </row>
    <row r="7" spans="1:12" x14ac:dyDescent="0.25">
      <c r="A7">
        <v>1</v>
      </c>
      <c r="B7" s="1">
        <v>45669</v>
      </c>
      <c r="C7" t="s">
        <v>4</v>
      </c>
      <c r="D7">
        <v>6</v>
      </c>
      <c r="E7">
        <v>7</v>
      </c>
      <c r="F7" t="s">
        <v>37</v>
      </c>
      <c r="G7">
        <f t="shared" si="0"/>
        <v>5</v>
      </c>
      <c r="H7">
        <f t="shared" si="1"/>
        <v>0</v>
      </c>
      <c r="I7">
        <f t="shared" si="2"/>
        <v>5</v>
      </c>
      <c r="J7">
        <f t="shared" si="3"/>
        <v>0</v>
      </c>
      <c r="K7">
        <f t="shared" si="4"/>
        <v>0</v>
      </c>
      <c r="L7">
        <f t="shared" si="5"/>
        <v>-1</v>
      </c>
    </row>
    <row r="8" spans="1:12" x14ac:dyDescent="0.25">
      <c r="A8">
        <v>1</v>
      </c>
      <c r="B8" s="1">
        <v>45669</v>
      </c>
      <c r="C8" t="s">
        <v>4</v>
      </c>
      <c r="D8">
        <v>7</v>
      </c>
      <c r="E8">
        <v>8</v>
      </c>
      <c r="F8" t="s">
        <v>40</v>
      </c>
      <c r="G8">
        <f t="shared" si="0"/>
        <v>4</v>
      </c>
      <c r="H8">
        <f t="shared" si="1"/>
        <v>0</v>
      </c>
      <c r="I8">
        <f t="shared" si="2"/>
        <v>4</v>
      </c>
      <c r="J8">
        <f t="shared" si="3"/>
        <v>0</v>
      </c>
      <c r="K8">
        <f t="shared" si="4"/>
        <v>0</v>
      </c>
      <c r="L8">
        <f t="shared" si="5"/>
        <v>-1</v>
      </c>
    </row>
    <row r="9" spans="1:12" x14ac:dyDescent="0.25">
      <c r="A9">
        <v>1</v>
      </c>
      <c r="B9" s="1">
        <v>45669</v>
      </c>
      <c r="C9" t="s">
        <v>4</v>
      </c>
      <c r="D9">
        <v>8</v>
      </c>
      <c r="E9">
        <v>6</v>
      </c>
      <c r="F9" t="s">
        <v>9</v>
      </c>
      <c r="G9">
        <f t="shared" si="0"/>
        <v>3</v>
      </c>
      <c r="H9">
        <f t="shared" si="1"/>
        <v>0</v>
      </c>
      <c r="I9">
        <f t="shared" si="2"/>
        <v>3</v>
      </c>
      <c r="J9">
        <f t="shared" si="3"/>
        <v>0</v>
      </c>
      <c r="K9">
        <f t="shared" si="4"/>
        <v>0</v>
      </c>
      <c r="L9">
        <f t="shared" si="5"/>
        <v>2</v>
      </c>
    </row>
    <row r="10" spans="1:12" x14ac:dyDescent="0.25">
      <c r="A10">
        <v>1</v>
      </c>
      <c r="B10" s="1">
        <v>45669</v>
      </c>
      <c r="C10" t="s">
        <v>4</v>
      </c>
      <c r="D10">
        <v>9</v>
      </c>
      <c r="E10">
        <v>11</v>
      </c>
      <c r="F10" t="s">
        <v>44</v>
      </c>
      <c r="G10">
        <f t="shared" si="0"/>
        <v>2</v>
      </c>
      <c r="H10">
        <f t="shared" si="1"/>
        <v>0</v>
      </c>
      <c r="I10">
        <f t="shared" si="2"/>
        <v>2</v>
      </c>
      <c r="J10">
        <f t="shared" si="3"/>
        <v>0</v>
      </c>
      <c r="K10">
        <f t="shared" si="4"/>
        <v>0</v>
      </c>
      <c r="L10">
        <f t="shared" si="5"/>
        <v>-2</v>
      </c>
    </row>
    <row r="11" spans="1:12" x14ac:dyDescent="0.25">
      <c r="A11">
        <v>1</v>
      </c>
      <c r="B11" s="1">
        <v>45669</v>
      </c>
      <c r="C11" t="s">
        <v>4</v>
      </c>
      <c r="D11">
        <v>10</v>
      </c>
      <c r="E11">
        <v>9</v>
      </c>
      <c r="F11" t="s">
        <v>13</v>
      </c>
      <c r="G11">
        <f t="shared" si="0"/>
        <v>1</v>
      </c>
      <c r="H11">
        <f t="shared" si="1"/>
        <v>0</v>
      </c>
      <c r="I11">
        <f t="shared" si="2"/>
        <v>1</v>
      </c>
      <c r="J11">
        <f t="shared" si="3"/>
        <v>0</v>
      </c>
      <c r="K11">
        <f t="shared" si="4"/>
        <v>0</v>
      </c>
      <c r="L11">
        <f t="shared" si="5"/>
        <v>1</v>
      </c>
    </row>
    <row r="12" spans="1:12" x14ac:dyDescent="0.25">
      <c r="A12">
        <v>1</v>
      </c>
      <c r="B12" s="1">
        <v>45669</v>
      </c>
      <c r="C12" t="s">
        <v>15</v>
      </c>
      <c r="D12">
        <v>1</v>
      </c>
      <c r="E12">
        <v>2</v>
      </c>
      <c r="F12" t="s">
        <v>19</v>
      </c>
      <c r="G12">
        <f t="shared" si="0"/>
        <v>10</v>
      </c>
      <c r="H12">
        <f t="shared" si="1"/>
        <v>9</v>
      </c>
      <c r="I12">
        <f t="shared" si="2"/>
        <v>19</v>
      </c>
      <c r="J12">
        <f t="shared" si="3"/>
        <v>1</v>
      </c>
      <c r="K12">
        <f t="shared" si="4"/>
        <v>1</v>
      </c>
      <c r="L12">
        <f t="shared" si="5"/>
        <v>-1</v>
      </c>
    </row>
    <row r="13" spans="1:12" x14ac:dyDescent="0.25">
      <c r="A13">
        <v>1</v>
      </c>
      <c r="B13" s="1">
        <v>45669</v>
      </c>
      <c r="C13" t="s">
        <v>15</v>
      </c>
      <c r="D13">
        <v>2</v>
      </c>
      <c r="E13">
        <v>1</v>
      </c>
      <c r="F13" t="s">
        <v>16</v>
      </c>
      <c r="G13">
        <f t="shared" si="0"/>
        <v>9</v>
      </c>
      <c r="H13">
        <f t="shared" si="1"/>
        <v>7</v>
      </c>
      <c r="I13">
        <f t="shared" si="2"/>
        <v>16</v>
      </c>
      <c r="J13">
        <f t="shared" si="3"/>
        <v>0</v>
      </c>
      <c r="K13">
        <f t="shared" si="4"/>
        <v>1</v>
      </c>
      <c r="L13">
        <f t="shared" si="5"/>
        <v>1</v>
      </c>
    </row>
    <row r="14" spans="1:12" x14ac:dyDescent="0.25">
      <c r="A14">
        <v>1</v>
      </c>
      <c r="B14" s="1">
        <v>45669</v>
      </c>
      <c r="C14" t="s">
        <v>15</v>
      </c>
      <c r="D14">
        <v>3</v>
      </c>
      <c r="E14">
        <v>4</v>
      </c>
      <c r="F14" t="s">
        <v>39</v>
      </c>
      <c r="G14">
        <f t="shared" ref="G14:G33" si="6">11-D14</f>
        <v>8</v>
      </c>
      <c r="H14">
        <f t="shared" ref="H14:H33" si="7">IF(D14&lt;6,11-2*D14,0)</f>
        <v>5</v>
      </c>
      <c r="I14">
        <f t="shared" ref="I14:I33" si="8">G14+H14</f>
        <v>13</v>
      </c>
      <c r="J14">
        <f t="shared" si="3"/>
        <v>0</v>
      </c>
      <c r="K14">
        <f t="shared" si="4"/>
        <v>1</v>
      </c>
      <c r="L14">
        <f t="shared" si="5"/>
        <v>-1</v>
      </c>
    </row>
    <row r="15" spans="1:12" x14ac:dyDescent="0.25">
      <c r="A15">
        <v>1</v>
      </c>
      <c r="B15" s="1">
        <v>45669</v>
      </c>
      <c r="C15" t="s">
        <v>15</v>
      </c>
      <c r="D15">
        <v>4</v>
      </c>
      <c r="E15">
        <v>6</v>
      </c>
      <c r="F15" t="s">
        <v>41</v>
      </c>
      <c r="G15">
        <f t="shared" si="6"/>
        <v>7</v>
      </c>
      <c r="H15">
        <f t="shared" si="7"/>
        <v>3</v>
      </c>
      <c r="I15">
        <f t="shared" si="8"/>
        <v>10</v>
      </c>
      <c r="J15">
        <f t="shared" si="3"/>
        <v>0</v>
      </c>
      <c r="K15">
        <f t="shared" si="4"/>
        <v>0</v>
      </c>
      <c r="L15">
        <f t="shared" si="5"/>
        <v>-2</v>
      </c>
    </row>
    <row r="16" spans="1:12" x14ac:dyDescent="0.25">
      <c r="A16">
        <v>1</v>
      </c>
      <c r="B16" s="1">
        <v>45669</v>
      </c>
      <c r="C16" t="s">
        <v>15</v>
      </c>
      <c r="D16">
        <v>5</v>
      </c>
      <c r="E16">
        <v>7</v>
      </c>
      <c r="F16" t="s">
        <v>38</v>
      </c>
      <c r="G16">
        <f t="shared" si="6"/>
        <v>6</v>
      </c>
      <c r="H16">
        <f t="shared" si="7"/>
        <v>1</v>
      </c>
      <c r="I16">
        <f t="shared" si="8"/>
        <v>7</v>
      </c>
      <c r="J16">
        <f t="shared" si="3"/>
        <v>0</v>
      </c>
      <c r="K16">
        <f t="shared" si="4"/>
        <v>0</v>
      </c>
      <c r="L16">
        <f t="shared" si="5"/>
        <v>-2</v>
      </c>
    </row>
    <row r="17" spans="1:12" x14ac:dyDescent="0.25">
      <c r="A17">
        <v>1</v>
      </c>
      <c r="B17" s="1">
        <v>45669</v>
      </c>
      <c r="C17" t="s">
        <v>15</v>
      </c>
      <c r="D17">
        <v>6</v>
      </c>
      <c r="E17">
        <v>8</v>
      </c>
      <c r="F17" t="s">
        <v>31</v>
      </c>
      <c r="G17">
        <f t="shared" si="6"/>
        <v>5</v>
      </c>
      <c r="H17">
        <f t="shared" si="7"/>
        <v>0</v>
      </c>
      <c r="I17">
        <f t="shared" si="8"/>
        <v>5</v>
      </c>
      <c r="J17">
        <f t="shared" si="3"/>
        <v>0</v>
      </c>
      <c r="K17">
        <f t="shared" si="4"/>
        <v>0</v>
      </c>
      <c r="L17">
        <f t="shared" si="5"/>
        <v>-2</v>
      </c>
    </row>
    <row r="18" spans="1:12" x14ac:dyDescent="0.25">
      <c r="A18">
        <v>1</v>
      </c>
      <c r="B18" s="1">
        <v>45669</v>
      </c>
      <c r="C18" t="s">
        <v>15</v>
      </c>
      <c r="D18">
        <v>7</v>
      </c>
      <c r="E18">
        <v>3</v>
      </c>
      <c r="F18" t="s">
        <v>17</v>
      </c>
      <c r="G18">
        <f t="shared" si="6"/>
        <v>4</v>
      </c>
      <c r="H18">
        <f t="shared" si="7"/>
        <v>0</v>
      </c>
      <c r="I18">
        <f t="shared" si="8"/>
        <v>4</v>
      </c>
      <c r="J18">
        <f t="shared" si="3"/>
        <v>0</v>
      </c>
      <c r="K18">
        <f t="shared" si="4"/>
        <v>0</v>
      </c>
      <c r="L18">
        <f t="shared" si="5"/>
        <v>4</v>
      </c>
    </row>
    <row r="19" spans="1:12" x14ac:dyDescent="0.25">
      <c r="A19">
        <v>1</v>
      </c>
      <c r="B19" s="1">
        <v>45669</v>
      </c>
      <c r="C19" t="s">
        <v>15</v>
      </c>
      <c r="D19">
        <v>8</v>
      </c>
      <c r="E19">
        <v>5</v>
      </c>
      <c r="F19" t="s">
        <v>18</v>
      </c>
      <c r="G19">
        <f t="shared" si="6"/>
        <v>3</v>
      </c>
      <c r="H19">
        <f t="shared" si="7"/>
        <v>0</v>
      </c>
      <c r="I19">
        <f t="shared" si="8"/>
        <v>3</v>
      </c>
      <c r="J19">
        <f t="shared" si="3"/>
        <v>0</v>
      </c>
      <c r="K19">
        <f t="shared" si="4"/>
        <v>0</v>
      </c>
      <c r="L19">
        <f t="shared" si="5"/>
        <v>3</v>
      </c>
    </row>
    <row r="20" spans="1:12" x14ac:dyDescent="0.25">
      <c r="A20">
        <v>1</v>
      </c>
      <c r="B20" s="1">
        <v>45669</v>
      </c>
      <c r="C20" t="s">
        <v>15</v>
      </c>
      <c r="D20">
        <v>9</v>
      </c>
      <c r="E20">
        <v>11</v>
      </c>
      <c r="F20" t="s">
        <v>43</v>
      </c>
      <c r="G20">
        <f t="shared" si="6"/>
        <v>2</v>
      </c>
      <c r="H20">
        <f t="shared" si="7"/>
        <v>0</v>
      </c>
      <c r="I20">
        <f t="shared" si="8"/>
        <v>2</v>
      </c>
      <c r="J20">
        <f t="shared" si="3"/>
        <v>0</v>
      </c>
      <c r="K20">
        <f t="shared" si="4"/>
        <v>0</v>
      </c>
      <c r="L20">
        <f t="shared" si="5"/>
        <v>-2</v>
      </c>
    </row>
    <row r="21" spans="1:12" x14ac:dyDescent="0.25">
      <c r="A21">
        <v>1</v>
      </c>
      <c r="B21" s="1">
        <v>45669</v>
      </c>
      <c r="C21" t="s">
        <v>15</v>
      </c>
      <c r="D21">
        <v>10</v>
      </c>
      <c r="E21">
        <v>10</v>
      </c>
      <c r="F21" t="s">
        <v>42</v>
      </c>
      <c r="G21">
        <f t="shared" si="6"/>
        <v>1</v>
      </c>
      <c r="H21">
        <f t="shared" si="7"/>
        <v>0</v>
      </c>
      <c r="I21">
        <f t="shared" si="8"/>
        <v>1</v>
      </c>
      <c r="J21">
        <f t="shared" si="3"/>
        <v>0</v>
      </c>
      <c r="K21">
        <f t="shared" si="4"/>
        <v>0</v>
      </c>
      <c r="L21">
        <f t="shared" si="5"/>
        <v>0</v>
      </c>
    </row>
    <row r="22" spans="1:12" x14ac:dyDescent="0.25">
      <c r="A22">
        <v>2</v>
      </c>
      <c r="B22" s="1">
        <v>45683</v>
      </c>
      <c r="C22" t="s">
        <v>4</v>
      </c>
      <c r="D22">
        <v>1</v>
      </c>
      <c r="E22">
        <v>1</v>
      </c>
      <c r="F22" t="s">
        <v>20</v>
      </c>
      <c r="G22">
        <f t="shared" si="6"/>
        <v>10</v>
      </c>
      <c r="H22">
        <f t="shared" si="7"/>
        <v>9</v>
      </c>
      <c r="I22">
        <f t="shared" si="8"/>
        <v>19</v>
      </c>
      <c r="J22">
        <f t="shared" ref="J22:J41" si="9">COUNTIF(D22,"=1")</f>
        <v>1</v>
      </c>
      <c r="K22">
        <f t="shared" ref="K22:K41" si="10">COUNTIF(D22,"&lt;4")</f>
        <v>1</v>
      </c>
      <c r="L22">
        <f t="shared" ref="L22:L41" si="11">D22-E22</f>
        <v>0</v>
      </c>
    </row>
    <row r="23" spans="1:12" x14ac:dyDescent="0.25">
      <c r="A23">
        <v>2</v>
      </c>
      <c r="B23" s="1">
        <v>45683</v>
      </c>
      <c r="C23" t="s">
        <v>4</v>
      </c>
      <c r="D23">
        <v>2</v>
      </c>
      <c r="E23">
        <v>2</v>
      </c>
      <c r="F23" t="s">
        <v>11</v>
      </c>
      <c r="G23">
        <f t="shared" si="6"/>
        <v>9</v>
      </c>
      <c r="H23">
        <f t="shared" si="7"/>
        <v>7</v>
      </c>
      <c r="I23">
        <f t="shared" si="8"/>
        <v>16</v>
      </c>
      <c r="J23">
        <f t="shared" si="9"/>
        <v>0</v>
      </c>
      <c r="K23">
        <f t="shared" si="10"/>
        <v>1</v>
      </c>
      <c r="L23">
        <f t="shared" si="11"/>
        <v>0</v>
      </c>
    </row>
    <row r="24" spans="1:12" x14ac:dyDescent="0.25">
      <c r="A24">
        <v>2</v>
      </c>
      <c r="B24" s="1">
        <v>45683</v>
      </c>
      <c r="C24" t="s">
        <v>4</v>
      </c>
      <c r="D24">
        <v>3</v>
      </c>
      <c r="E24">
        <v>4</v>
      </c>
      <c r="F24" t="s">
        <v>14</v>
      </c>
      <c r="G24">
        <f t="shared" si="6"/>
        <v>8</v>
      </c>
      <c r="H24">
        <f t="shared" si="7"/>
        <v>5</v>
      </c>
      <c r="I24">
        <f t="shared" si="8"/>
        <v>13</v>
      </c>
      <c r="J24">
        <f t="shared" si="9"/>
        <v>0</v>
      </c>
      <c r="K24">
        <f t="shared" si="10"/>
        <v>1</v>
      </c>
      <c r="L24">
        <f t="shared" si="11"/>
        <v>-1</v>
      </c>
    </row>
    <row r="25" spans="1:12" x14ac:dyDescent="0.25">
      <c r="A25">
        <v>2</v>
      </c>
      <c r="B25" s="1">
        <v>45683</v>
      </c>
      <c r="C25" t="s">
        <v>4</v>
      </c>
      <c r="D25">
        <v>4</v>
      </c>
      <c r="E25">
        <v>3</v>
      </c>
      <c r="F25" t="s">
        <v>10</v>
      </c>
      <c r="G25">
        <f t="shared" si="6"/>
        <v>7</v>
      </c>
      <c r="H25">
        <f t="shared" si="7"/>
        <v>3</v>
      </c>
      <c r="I25">
        <f t="shared" si="8"/>
        <v>10</v>
      </c>
      <c r="J25">
        <f t="shared" si="9"/>
        <v>0</v>
      </c>
      <c r="K25">
        <f t="shared" si="10"/>
        <v>0</v>
      </c>
      <c r="L25">
        <f t="shared" si="11"/>
        <v>1</v>
      </c>
    </row>
    <row r="26" spans="1:12" x14ac:dyDescent="0.25">
      <c r="A26">
        <v>2</v>
      </c>
      <c r="B26" s="1">
        <v>45683</v>
      </c>
      <c r="C26" t="s">
        <v>4</v>
      </c>
      <c r="D26">
        <v>5</v>
      </c>
      <c r="E26">
        <v>6</v>
      </c>
      <c r="F26" t="s">
        <v>37</v>
      </c>
      <c r="G26">
        <f t="shared" si="6"/>
        <v>6</v>
      </c>
      <c r="H26">
        <f t="shared" si="7"/>
        <v>1</v>
      </c>
      <c r="I26">
        <f t="shared" si="8"/>
        <v>7</v>
      </c>
      <c r="J26">
        <f t="shared" si="9"/>
        <v>0</v>
      </c>
      <c r="K26">
        <f t="shared" si="10"/>
        <v>0</v>
      </c>
      <c r="L26">
        <f t="shared" si="11"/>
        <v>-1</v>
      </c>
    </row>
    <row r="27" spans="1:12" x14ac:dyDescent="0.25">
      <c r="A27">
        <v>2</v>
      </c>
      <c r="B27" s="1">
        <v>45683</v>
      </c>
      <c r="C27" t="s">
        <v>4</v>
      </c>
      <c r="D27">
        <v>6</v>
      </c>
      <c r="E27">
        <v>7</v>
      </c>
      <c r="F27" t="s">
        <v>40</v>
      </c>
      <c r="G27">
        <f t="shared" si="6"/>
        <v>5</v>
      </c>
      <c r="H27">
        <f t="shared" si="7"/>
        <v>0</v>
      </c>
      <c r="I27">
        <f t="shared" si="8"/>
        <v>5</v>
      </c>
      <c r="J27">
        <f t="shared" si="9"/>
        <v>0</v>
      </c>
      <c r="K27">
        <f t="shared" si="10"/>
        <v>0</v>
      </c>
      <c r="L27">
        <f t="shared" si="11"/>
        <v>-1</v>
      </c>
    </row>
    <row r="28" spans="1:12" x14ac:dyDescent="0.25">
      <c r="A28">
        <v>2</v>
      </c>
      <c r="B28" s="1">
        <v>45683</v>
      </c>
      <c r="C28" t="s">
        <v>4</v>
      </c>
      <c r="D28">
        <v>7</v>
      </c>
      <c r="E28">
        <v>9</v>
      </c>
      <c r="F28" t="s">
        <v>44</v>
      </c>
      <c r="G28">
        <f t="shared" si="6"/>
        <v>4</v>
      </c>
      <c r="H28">
        <f t="shared" si="7"/>
        <v>0</v>
      </c>
      <c r="I28">
        <f t="shared" si="8"/>
        <v>4</v>
      </c>
      <c r="J28">
        <f t="shared" si="9"/>
        <v>0</v>
      </c>
      <c r="K28">
        <f t="shared" si="10"/>
        <v>0</v>
      </c>
      <c r="L28">
        <f t="shared" si="11"/>
        <v>-2</v>
      </c>
    </row>
    <row r="29" spans="1:12" x14ac:dyDescent="0.25">
      <c r="A29">
        <v>2</v>
      </c>
      <c r="B29" s="1">
        <v>45683</v>
      </c>
      <c r="C29" t="s">
        <v>4</v>
      </c>
      <c r="D29">
        <v>8</v>
      </c>
      <c r="E29">
        <v>5</v>
      </c>
      <c r="F29" t="s">
        <v>12</v>
      </c>
      <c r="G29">
        <f t="shared" si="6"/>
        <v>3</v>
      </c>
      <c r="H29">
        <f t="shared" si="7"/>
        <v>0</v>
      </c>
      <c r="I29">
        <f t="shared" si="8"/>
        <v>3</v>
      </c>
      <c r="J29">
        <f t="shared" si="9"/>
        <v>0</v>
      </c>
      <c r="K29">
        <f t="shared" si="10"/>
        <v>0</v>
      </c>
      <c r="L29">
        <f t="shared" si="11"/>
        <v>3</v>
      </c>
    </row>
    <row r="30" spans="1:12" x14ac:dyDescent="0.25">
      <c r="A30">
        <v>2</v>
      </c>
      <c r="B30" s="1">
        <v>45683</v>
      </c>
      <c r="C30" t="s">
        <v>4</v>
      </c>
      <c r="D30">
        <v>9</v>
      </c>
      <c r="E30">
        <v>8</v>
      </c>
      <c r="F30" t="s">
        <v>9</v>
      </c>
      <c r="G30">
        <f t="shared" si="6"/>
        <v>2</v>
      </c>
      <c r="H30">
        <f t="shared" si="7"/>
        <v>0</v>
      </c>
      <c r="I30">
        <f t="shared" si="8"/>
        <v>2</v>
      </c>
      <c r="J30">
        <f t="shared" si="9"/>
        <v>0</v>
      </c>
      <c r="K30">
        <f t="shared" si="10"/>
        <v>0</v>
      </c>
      <c r="L30">
        <f t="shared" si="11"/>
        <v>1</v>
      </c>
    </row>
    <row r="31" spans="1:12" x14ac:dyDescent="0.25">
      <c r="A31">
        <v>2</v>
      </c>
      <c r="B31" s="1">
        <v>45683</v>
      </c>
      <c r="C31" t="s">
        <v>4</v>
      </c>
      <c r="D31">
        <v>10</v>
      </c>
      <c r="E31">
        <v>10</v>
      </c>
      <c r="F31" t="s">
        <v>13</v>
      </c>
      <c r="G31">
        <f t="shared" si="6"/>
        <v>1</v>
      </c>
      <c r="H31">
        <f t="shared" si="7"/>
        <v>0</v>
      </c>
      <c r="I31">
        <f t="shared" si="8"/>
        <v>1</v>
      </c>
      <c r="J31">
        <f t="shared" si="9"/>
        <v>0</v>
      </c>
      <c r="K31">
        <f t="shared" si="10"/>
        <v>0</v>
      </c>
      <c r="L31">
        <f t="shared" si="11"/>
        <v>0</v>
      </c>
    </row>
    <row r="32" spans="1:12" x14ac:dyDescent="0.25">
      <c r="A32">
        <v>2</v>
      </c>
      <c r="B32" s="1">
        <v>45683</v>
      </c>
      <c r="C32" t="s">
        <v>15</v>
      </c>
      <c r="D32">
        <v>1</v>
      </c>
      <c r="E32">
        <v>1</v>
      </c>
      <c r="F32" t="s">
        <v>19</v>
      </c>
      <c r="G32">
        <f t="shared" si="6"/>
        <v>10</v>
      </c>
      <c r="H32">
        <f t="shared" si="7"/>
        <v>9</v>
      </c>
      <c r="I32">
        <f t="shared" si="8"/>
        <v>19</v>
      </c>
      <c r="J32">
        <f t="shared" si="9"/>
        <v>1</v>
      </c>
      <c r="K32">
        <f t="shared" si="10"/>
        <v>1</v>
      </c>
      <c r="L32">
        <f t="shared" si="11"/>
        <v>0</v>
      </c>
    </row>
    <row r="33" spans="1:12" x14ac:dyDescent="0.25">
      <c r="A33">
        <v>2</v>
      </c>
      <c r="B33" s="1">
        <v>45683</v>
      </c>
      <c r="C33" t="s">
        <v>15</v>
      </c>
      <c r="D33">
        <v>2</v>
      </c>
      <c r="E33">
        <v>3</v>
      </c>
      <c r="F33" t="s">
        <v>39</v>
      </c>
      <c r="G33">
        <f t="shared" si="6"/>
        <v>9</v>
      </c>
      <c r="H33">
        <f t="shared" si="7"/>
        <v>7</v>
      </c>
      <c r="I33">
        <f t="shared" si="8"/>
        <v>16</v>
      </c>
      <c r="J33">
        <f t="shared" si="9"/>
        <v>0</v>
      </c>
      <c r="K33">
        <f t="shared" si="10"/>
        <v>1</v>
      </c>
      <c r="L33">
        <f t="shared" si="11"/>
        <v>-1</v>
      </c>
    </row>
    <row r="34" spans="1:12" x14ac:dyDescent="0.25">
      <c r="A34">
        <v>2</v>
      </c>
      <c r="B34" s="1">
        <v>45683</v>
      </c>
      <c r="C34" t="s">
        <v>15</v>
      </c>
      <c r="D34">
        <v>3</v>
      </c>
      <c r="E34">
        <v>2</v>
      </c>
      <c r="F34" t="s">
        <v>16</v>
      </c>
      <c r="G34">
        <f t="shared" ref="G34:G53" si="12">11-D34</f>
        <v>8</v>
      </c>
      <c r="H34">
        <f t="shared" ref="H34:H53" si="13">IF(D34&lt;6,11-2*D34,0)</f>
        <v>5</v>
      </c>
      <c r="I34">
        <f t="shared" ref="I34:I53" si="14">G34+H34</f>
        <v>13</v>
      </c>
      <c r="J34">
        <f t="shared" si="9"/>
        <v>0</v>
      </c>
      <c r="K34">
        <f t="shared" si="10"/>
        <v>1</v>
      </c>
      <c r="L34">
        <f t="shared" si="11"/>
        <v>1</v>
      </c>
    </row>
    <row r="35" spans="1:12" x14ac:dyDescent="0.25">
      <c r="A35">
        <v>2</v>
      </c>
      <c r="B35" s="1">
        <v>45683</v>
      </c>
      <c r="C35" t="s">
        <v>15</v>
      </c>
      <c r="D35">
        <v>4</v>
      </c>
      <c r="E35">
        <v>4</v>
      </c>
      <c r="F35" t="s">
        <v>41</v>
      </c>
      <c r="G35">
        <f t="shared" si="12"/>
        <v>7</v>
      </c>
      <c r="H35">
        <f t="shared" si="13"/>
        <v>3</v>
      </c>
      <c r="I35">
        <f t="shared" si="14"/>
        <v>10</v>
      </c>
      <c r="J35">
        <f t="shared" si="9"/>
        <v>0</v>
      </c>
      <c r="K35">
        <f t="shared" si="10"/>
        <v>0</v>
      </c>
      <c r="L35">
        <f t="shared" si="11"/>
        <v>0</v>
      </c>
    </row>
    <row r="36" spans="1:12" x14ac:dyDescent="0.25">
      <c r="A36">
        <v>2</v>
      </c>
      <c r="B36" s="1">
        <v>45683</v>
      </c>
      <c r="C36" t="s">
        <v>15</v>
      </c>
      <c r="D36">
        <v>5</v>
      </c>
      <c r="E36">
        <v>5</v>
      </c>
      <c r="F36" t="s">
        <v>38</v>
      </c>
      <c r="G36">
        <f t="shared" si="12"/>
        <v>6</v>
      </c>
      <c r="H36">
        <f t="shared" si="13"/>
        <v>1</v>
      </c>
      <c r="I36">
        <f t="shared" si="14"/>
        <v>7</v>
      </c>
      <c r="J36">
        <f t="shared" si="9"/>
        <v>0</v>
      </c>
      <c r="K36">
        <f t="shared" si="10"/>
        <v>0</v>
      </c>
      <c r="L36">
        <f t="shared" si="11"/>
        <v>0</v>
      </c>
    </row>
    <row r="37" spans="1:12" x14ac:dyDescent="0.25">
      <c r="A37">
        <v>2</v>
      </c>
      <c r="B37" s="1">
        <v>45683</v>
      </c>
      <c r="C37" t="s">
        <v>15</v>
      </c>
      <c r="D37">
        <v>6</v>
      </c>
      <c r="E37">
        <v>6</v>
      </c>
      <c r="F37" t="s">
        <v>31</v>
      </c>
      <c r="G37">
        <f t="shared" si="12"/>
        <v>5</v>
      </c>
      <c r="H37">
        <f t="shared" si="13"/>
        <v>0</v>
      </c>
      <c r="I37">
        <f t="shared" si="14"/>
        <v>5</v>
      </c>
      <c r="J37">
        <f t="shared" si="9"/>
        <v>0</v>
      </c>
      <c r="K37">
        <f t="shared" si="10"/>
        <v>0</v>
      </c>
      <c r="L37">
        <f t="shared" si="11"/>
        <v>0</v>
      </c>
    </row>
    <row r="38" spans="1:12" x14ac:dyDescent="0.25">
      <c r="A38">
        <v>2</v>
      </c>
      <c r="B38" s="1">
        <v>45683</v>
      </c>
      <c r="C38" t="s">
        <v>15</v>
      </c>
      <c r="D38">
        <v>7</v>
      </c>
      <c r="E38">
        <v>9</v>
      </c>
      <c r="F38" t="s">
        <v>43</v>
      </c>
      <c r="G38">
        <f t="shared" si="12"/>
        <v>4</v>
      </c>
      <c r="H38">
        <f t="shared" si="13"/>
        <v>0</v>
      </c>
      <c r="I38">
        <f t="shared" si="14"/>
        <v>4</v>
      </c>
      <c r="J38">
        <f t="shared" si="9"/>
        <v>0</v>
      </c>
      <c r="K38">
        <f t="shared" si="10"/>
        <v>0</v>
      </c>
      <c r="L38">
        <f t="shared" si="11"/>
        <v>-2</v>
      </c>
    </row>
    <row r="39" spans="1:12" x14ac:dyDescent="0.25">
      <c r="A39">
        <v>2</v>
      </c>
      <c r="B39" s="1">
        <v>45683</v>
      </c>
      <c r="C39" t="s">
        <v>15</v>
      </c>
      <c r="D39">
        <v>8</v>
      </c>
      <c r="E39">
        <v>8</v>
      </c>
      <c r="F39" t="s">
        <v>18</v>
      </c>
      <c r="G39">
        <f t="shared" si="12"/>
        <v>3</v>
      </c>
      <c r="H39">
        <f t="shared" si="13"/>
        <v>0</v>
      </c>
      <c r="I39">
        <f t="shared" si="14"/>
        <v>3</v>
      </c>
      <c r="J39">
        <f t="shared" si="9"/>
        <v>0</v>
      </c>
      <c r="K39">
        <f t="shared" si="10"/>
        <v>0</v>
      </c>
      <c r="L39">
        <f t="shared" si="11"/>
        <v>0</v>
      </c>
    </row>
    <row r="40" spans="1:12" x14ac:dyDescent="0.25">
      <c r="A40">
        <v>2</v>
      </c>
      <c r="B40" s="1">
        <v>45683</v>
      </c>
      <c r="C40" t="s">
        <v>15</v>
      </c>
      <c r="D40">
        <v>9</v>
      </c>
      <c r="E40">
        <v>10</v>
      </c>
      <c r="F40" t="s">
        <v>42</v>
      </c>
      <c r="G40">
        <f t="shared" si="12"/>
        <v>2</v>
      </c>
      <c r="H40">
        <f t="shared" si="13"/>
        <v>0</v>
      </c>
      <c r="I40">
        <f t="shared" si="14"/>
        <v>2</v>
      </c>
      <c r="J40">
        <f t="shared" si="9"/>
        <v>0</v>
      </c>
      <c r="K40">
        <f t="shared" si="10"/>
        <v>0</v>
      </c>
      <c r="L40">
        <f t="shared" si="11"/>
        <v>-1</v>
      </c>
    </row>
    <row r="41" spans="1:12" x14ac:dyDescent="0.25">
      <c r="A41">
        <v>2</v>
      </c>
      <c r="B41" s="1">
        <v>45683</v>
      </c>
      <c r="C41" t="s">
        <v>15</v>
      </c>
      <c r="D41">
        <v>10</v>
      </c>
      <c r="E41">
        <v>7</v>
      </c>
      <c r="F41" t="s">
        <v>17</v>
      </c>
      <c r="G41">
        <f t="shared" si="12"/>
        <v>1</v>
      </c>
      <c r="H41">
        <f t="shared" si="13"/>
        <v>0</v>
      </c>
      <c r="I41">
        <f t="shared" si="14"/>
        <v>1</v>
      </c>
      <c r="J41">
        <f t="shared" si="9"/>
        <v>0</v>
      </c>
      <c r="K41">
        <f t="shared" si="10"/>
        <v>0</v>
      </c>
      <c r="L41">
        <f t="shared" si="11"/>
        <v>3</v>
      </c>
    </row>
    <row r="42" spans="1:12" x14ac:dyDescent="0.25">
      <c r="A42">
        <v>3</v>
      </c>
      <c r="B42" s="1">
        <v>45690</v>
      </c>
      <c r="C42" t="s">
        <v>4</v>
      </c>
      <c r="D42">
        <v>1</v>
      </c>
      <c r="E42">
        <v>1</v>
      </c>
      <c r="F42" t="s">
        <v>20</v>
      </c>
      <c r="G42">
        <f t="shared" si="12"/>
        <v>10</v>
      </c>
      <c r="H42">
        <f t="shared" si="13"/>
        <v>9</v>
      </c>
      <c r="I42">
        <f t="shared" si="14"/>
        <v>19</v>
      </c>
      <c r="J42">
        <f t="shared" ref="J42:J61" si="15">COUNTIF(D42,"=1")</f>
        <v>1</v>
      </c>
      <c r="K42">
        <f t="shared" ref="K42:K61" si="16">COUNTIF(D42,"&lt;4")</f>
        <v>1</v>
      </c>
      <c r="L42">
        <f t="shared" ref="L42:L61" si="17">D42-E42</f>
        <v>0</v>
      </c>
    </row>
    <row r="43" spans="1:12" x14ac:dyDescent="0.25">
      <c r="A43">
        <v>3</v>
      </c>
      <c r="B43" s="1">
        <v>45690</v>
      </c>
      <c r="C43" t="s">
        <v>4</v>
      </c>
      <c r="D43">
        <v>2</v>
      </c>
      <c r="E43">
        <v>3</v>
      </c>
      <c r="F43" t="s">
        <v>14</v>
      </c>
      <c r="G43">
        <f t="shared" si="12"/>
        <v>9</v>
      </c>
      <c r="H43">
        <f t="shared" si="13"/>
        <v>7</v>
      </c>
      <c r="I43">
        <f t="shared" si="14"/>
        <v>16</v>
      </c>
      <c r="J43">
        <f t="shared" si="15"/>
        <v>0</v>
      </c>
      <c r="K43">
        <f t="shared" si="16"/>
        <v>1</v>
      </c>
      <c r="L43">
        <f t="shared" si="17"/>
        <v>-1</v>
      </c>
    </row>
    <row r="44" spans="1:12" x14ac:dyDescent="0.25">
      <c r="A44">
        <v>3</v>
      </c>
      <c r="B44" s="1">
        <v>45690</v>
      </c>
      <c r="C44" t="s">
        <v>4</v>
      </c>
      <c r="D44">
        <v>3</v>
      </c>
      <c r="E44">
        <v>2</v>
      </c>
      <c r="F44" t="s">
        <v>11</v>
      </c>
      <c r="G44">
        <f t="shared" si="12"/>
        <v>8</v>
      </c>
      <c r="H44">
        <f t="shared" si="13"/>
        <v>5</v>
      </c>
      <c r="I44">
        <f t="shared" si="14"/>
        <v>13</v>
      </c>
      <c r="J44">
        <f t="shared" si="15"/>
        <v>0</v>
      </c>
      <c r="K44">
        <f t="shared" si="16"/>
        <v>1</v>
      </c>
      <c r="L44">
        <f t="shared" si="17"/>
        <v>1</v>
      </c>
    </row>
    <row r="45" spans="1:12" x14ac:dyDescent="0.25">
      <c r="A45">
        <v>3</v>
      </c>
      <c r="B45" s="1">
        <v>45690</v>
      </c>
      <c r="C45" t="s">
        <v>4</v>
      </c>
      <c r="D45">
        <v>4</v>
      </c>
      <c r="E45">
        <v>5</v>
      </c>
      <c r="F45" t="s">
        <v>37</v>
      </c>
      <c r="G45">
        <f t="shared" si="12"/>
        <v>7</v>
      </c>
      <c r="H45">
        <f t="shared" si="13"/>
        <v>3</v>
      </c>
      <c r="I45">
        <f t="shared" si="14"/>
        <v>10</v>
      </c>
      <c r="J45">
        <f t="shared" si="15"/>
        <v>0</v>
      </c>
      <c r="K45">
        <f t="shared" si="16"/>
        <v>0</v>
      </c>
      <c r="L45">
        <f t="shared" si="17"/>
        <v>-1</v>
      </c>
    </row>
    <row r="46" spans="1:12" x14ac:dyDescent="0.25">
      <c r="A46">
        <v>3</v>
      </c>
      <c r="B46" s="1">
        <v>45690</v>
      </c>
      <c r="C46" t="s">
        <v>4</v>
      </c>
      <c r="D46">
        <v>5</v>
      </c>
      <c r="E46">
        <v>6</v>
      </c>
      <c r="F46" t="s">
        <v>40</v>
      </c>
      <c r="G46">
        <f t="shared" si="12"/>
        <v>6</v>
      </c>
      <c r="H46">
        <f t="shared" si="13"/>
        <v>1</v>
      </c>
      <c r="I46">
        <f t="shared" si="14"/>
        <v>7</v>
      </c>
      <c r="J46">
        <f t="shared" si="15"/>
        <v>0</v>
      </c>
      <c r="K46">
        <f t="shared" si="16"/>
        <v>0</v>
      </c>
      <c r="L46">
        <f t="shared" si="17"/>
        <v>-1</v>
      </c>
    </row>
    <row r="47" spans="1:12" x14ac:dyDescent="0.25">
      <c r="A47">
        <v>3</v>
      </c>
      <c r="B47" s="1">
        <v>45690</v>
      </c>
      <c r="C47" t="s">
        <v>4</v>
      </c>
      <c r="D47">
        <v>6</v>
      </c>
      <c r="E47">
        <v>4</v>
      </c>
      <c r="F47" t="s">
        <v>10</v>
      </c>
      <c r="G47">
        <f t="shared" si="12"/>
        <v>5</v>
      </c>
      <c r="H47">
        <f t="shared" si="13"/>
        <v>0</v>
      </c>
      <c r="I47">
        <f t="shared" si="14"/>
        <v>5</v>
      </c>
      <c r="J47">
        <f t="shared" si="15"/>
        <v>0</v>
      </c>
      <c r="K47">
        <f t="shared" si="16"/>
        <v>0</v>
      </c>
      <c r="L47">
        <f t="shared" si="17"/>
        <v>2</v>
      </c>
    </row>
    <row r="48" spans="1:12" x14ac:dyDescent="0.25">
      <c r="A48">
        <v>3</v>
      </c>
      <c r="B48" s="1">
        <v>45690</v>
      </c>
      <c r="C48" t="s">
        <v>4</v>
      </c>
      <c r="D48">
        <v>7</v>
      </c>
      <c r="E48">
        <v>7</v>
      </c>
      <c r="F48" t="s">
        <v>44</v>
      </c>
      <c r="G48">
        <f t="shared" si="12"/>
        <v>4</v>
      </c>
      <c r="H48">
        <f t="shared" si="13"/>
        <v>0</v>
      </c>
      <c r="I48">
        <f t="shared" si="14"/>
        <v>4</v>
      </c>
      <c r="J48">
        <f t="shared" si="15"/>
        <v>0</v>
      </c>
      <c r="K48">
        <f t="shared" si="16"/>
        <v>0</v>
      </c>
      <c r="L48">
        <f t="shared" si="17"/>
        <v>0</v>
      </c>
    </row>
    <row r="49" spans="1:12" x14ac:dyDescent="0.25">
      <c r="A49">
        <v>3</v>
      </c>
      <c r="B49" s="1">
        <v>45690</v>
      </c>
      <c r="C49" t="s">
        <v>4</v>
      </c>
      <c r="D49">
        <v>8</v>
      </c>
      <c r="E49">
        <v>11</v>
      </c>
      <c r="F49" t="s">
        <v>45</v>
      </c>
      <c r="G49">
        <f t="shared" si="12"/>
        <v>3</v>
      </c>
      <c r="H49">
        <f t="shared" si="13"/>
        <v>0</v>
      </c>
      <c r="I49">
        <f t="shared" si="14"/>
        <v>3</v>
      </c>
      <c r="J49">
        <f t="shared" si="15"/>
        <v>0</v>
      </c>
      <c r="K49">
        <f t="shared" si="16"/>
        <v>0</v>
      </c>
      <c r="L49">
        <f t="shared" si="17"/>
        <v>-3</v>
      </c>
    </row>
    <row r="50" spans="1:12" x14ac:dyDescent="0.25">
      <c r="A50">
        <v>3</v>
      </c>
      <c r="B50" s="1">
        <v>45690</v>
      </c>
      <c r="C50" t="s">
        <v>4</v>
      </c>
      <c r="D50">
        <v>9</v>
      </c>
      <c r="E50">
        <v>11</v>
      </c>
      <c r="F50" t="s">
        <v>46</v>
      </c>
      <c r="G50">
        <f t="shared" si="12"/>
        <v>2</v>
      </c>
      <c r="H50">
        <f t="shared" si="13"/>
        <v>0</v>
      </c>
      <c r="I50">
        <f t="shared" si="14"/>
        <v>2</v>
      </c>
      <c r="J50">
        <f t="shared" si="15"/>
        <v>0</v>
      </c>
      <c r="K50">
        <f t="shared" si="16"/>
        <v>0</v>
      </c>
      <c r="L50">
        <f t="shared" si="17"/>
        <v>-2</v>
      </c>
    </row>
    <row r="51" spans="1:12" x14ac:dyDescent="0.25">
      <c r="A51">
        <v>3</v>
      </c>
      <c r="B51" s="1">
        <v>45690</v>
      </c>
      <c r="C51" t="s">
        <v>4</v>
      </c>
      <c r="D51">
        <v>10</v>
      </c>
      <c r="E51">
        <v>8</v>
      </c>
      <c r="F51" t="s">
        <v>12</v>
      </c>
      <c r="G51">
        <f t="shared" si="12"/>
        <v>1</v>
      </c>
      <c r="H51">
        <f t="shared" si="13"/>
        <v>0</v>
      </c>
      <c r="I51">
        <f t="shared" si="14"/>
        <v>1</v>
      </c>
      <c r="J51">
        <f t="shared" si="15"/>
        <v>0</v>
      </c>
      <c r="K51">
        <f t="shared" si="16"/>
        <v>0</v>
      </c>
      <c r="L51">
        <f t="shared" si="17"/>
        <v>2</v>
      </c>
    </row>
    <row r="52" spans="1:12" x14ac:dyDescent="0.25">
      <c r="A52">
        <v>3</v>
      </c>
      <c r="B52" s="1">
        <v>45690</v>
      </c>
      <c r="C52" t="s">
        <v>15</v>
      </c>
      <c r="D52">
        <v>1</v>
      </c>
      <c r="E52">
        <v>2</v>
      </c>
      <c r="F52" t="s">
        <v>39</v>
      </c>
      <c r="G52">
        <f t="shared" si="12"/>
        <v>10</v>
      </c>
      <c r="H52">
        <f t="shared" si="13"/>
        <v>9</v>
      </c>
      <c r="I52">
        <f t="shared" si="14"/>
        <v>19</v>
      </c>
      <c r="J52">
        <f t="shared" si="15"/>
        <v>1</v>
      </c>
      <c r="K52">
        <f t="shared" si="16"/>
        <v>1</v>
      </c>
      <c r="L52">
        <f t="shared" si="17"/>
        <v>-1</v>
      </c>
    </row>
    <row r="53" spans="1:12" x14ac:dyDescent="0.25">
      <c r="A53">
        <v>3</v>
      </c>
      <c r="B53" s="1">
        <v>45690</v>
      </c>
      <c r="C53" t="s">
        <v>15</v>
      </c>
      <c r="D53">
        <v>2</v>
      </c>
      <c r="E53">
        <v>1</v>
      </c>
      <c r="F53" t="s">
        <v>19</v>
      </c>
      <c r="G53">
        <f t="shared" si="12"/>
        <v>9</v>
      </c>
      <c r="H53">
        <f t="shared" si="13"/>
        <v>7</v>
      </c>
      <c r="I53">
        <f t="shared" si="14"/>
        <v>16</v>
      </c>
      <c r="J53">
        <f t="shared" si="15"/>
        <v>0</v>
      </c>
      <c r="K53">
        <f t="shared" si="16"/>
        <v>1</v>
      </c>
      <c r="L53">
        <f t="shared" si="17"/>
        <v>1</v>
      </c>
    </row>
    <row r="54" spans="1:12" x14ac:dyDescent="0.25">
      <c r="A54">
        <v>3</v>
      </c>
      <c r="B54" s="1">
        <v>45690</v>
      </c>
      <c r="C54" t="s">
        <v>15</v>
      </c>
      <c r="D54">
        <v>3</v>
      </c>
      <c r="E54">
        <v>4</v>
      </c>
      <c r="F54" t="s">
        <v>41</v>
      </c>
      <c r="G54">
        <f t="shared" ref="G54:G73" si="18">11-D54</f>
        <v>8</v>
      </c>
      <c r="H54">
        <f t="shared" ref="H54:H73" si="19">IF(D54&lt;6,11-2*D54,0)</f>
        <v>5</v>
      </c>
      <c r="I54">
        <f t="shared" ref="I54:I73" si="20">G54+H54</f>
        <v>13</v>
      </c>
      <c r="J54">
        <f t="shared" si="15"/>
        <v>0</v>
      </c>
      <c r="K54">
        <f t="shared" si="16"/>
        <v>1</v>
      </c>
      <c r="L54">
        <f t="shared" si="17"/>
        <v>-1</v>
      </c>
    </row>
    <row r="55" spans="1:12" x14ac:dyDescent="0.25">
      <c r="A55">
        <v>3</v>
      </c>
      <c r="B55" s="1">
        <v>45690</v>
      </c>
      <c r="C55" t="s">
        <v>15</v>
      </c>
      <c r="D55">
        <v>4</v>
      </c>
      <c r="E55">
        <v>5</v>
      </c>
      <c r="F55" t="s">
        <v>38</v>
      </c>
      <c r="G55">
        <f t="shared" si="18"/>
        <v>7</v>
      </c>
      <c r="H55">
        <f t="shared" si="19"/>
        <v>3</v>
      </c>
      <c r="I55">
        <f t="shared" si="20"/>
        <v>10</v>
      </c>
      <c r="J55">
        <f t="shared" si="15"/>
        <v>0</v>
      </c>
      <c r="K55">
        <f t="shared" si="16"/>
        <v>0</v>
      </c>
      <c r="L55">
        <f t="shared" si="17"/>
        <v>-1</v>
      </c>
    </row>
    <row r="56" spans="1:12" x14ac:dyDescent="0.25">
      <c r="A56">
        <v>3</v>
      </c>
      <c r="B56" s="1">
        <v>45690</v>
      </c>
      <c r="C56" t="s">
        <v>15</v>
      </c>
      <c r="D56">
        <v>5</v>
      </c>
      <c r="E56">
        <v>6</v>
      </c>
      <c r="F56" t="s">
        <v>31</v>
      </c>
      <c r="G56">
        <f t="shared" si="18"/>
        <v>6</v>
      </c>
      <c r="H56">
        <f t="shared" si="19"/>
        <v>1</v>
      </c>
      <c r="I56">
        <f t="shared" si="20"/>
        <v>7</v>
      </c>
      <c r="J56">
        <f t="shared" si="15"/>
        <v>0</v>
      </c>
      <c r="K56">
        <f t="shared" si="16"/>
        <v>0</v>
      </c>
      <c r="L56">
        <f t="shared" si="17"/>
        <v>-1</v>
      </c>
    </row>
    <row r="57" spans="1:12" x14ac:dyDescent="0.25">
      <c r="A57">
        <v>3</v>
      </c>
      <c r="B57" s="1">
        <v>45690</v>
      </c>
      <c r="C57" t="s">
        <v>15</v>
      </c>
      <c r="D57">
        <v>6</v>
      </c>
      <c r="E57">
        <v>3</v>
      </c>
      <c r="F57" t="s">
        <v>16</v>
      </c>
      <c r="G57">
        <f t="shared" si="18"/>
        <v>5</v>
      </c>
      <c r="H57">
        <f t="shared" si="19"/>
        <v>0</v>
      </c>
      <c r="I57">
        <f t="shared" si="20"/>
        <v>5</v>
      </c>
      <c r="J57">
        <f t="shared" si="15"/>
        <v>0</v>
      </c>
      <c r="K57">
        <f t="shared" si="16"/>
        <v>0</v>
      </c>
      <c r="L57">
        <f t="shared" si="17"/>
        <v>3</v>
      </c>
    </row>
    <row r="58" spans="1:12" x14ac:dyDescent="0.25">
      <c r="A58">
        <v>3</v>
      </c>
      <c r="B58" s="1">
        <v>45690</v>
      </c>
      <c r="C58" t="s">
        <v>15</v>
      </c>
      <c r="D58">
        <v>7</v>
      </c>
      <c r="E58">
        <v>7</v>
      </c>
      <c r="F58" t="s">
        <v>43</v>
      </c>
      <c r="G58">
        <f t="shared" si="18"/>
        <v>4</v>
      </c>
      <c r="H58">
        <f t="shared" si="19"/>
        <v>0</v>
      </c>
      <c r="I58">
        <f t="shared" si="20"/>
        <v>4</v>
      </c>
      <c r="J58">
        <f t="shared" si="15"/>
        <v>0</v>
      </c>
      <c r="K58">
        <f t="shared" si="16"/>
        <v>0</v>
      </c>
      <c r="L58">
        <f t="shared" si="17"/>
        <v>0</v>
      </c>
    </row>
    <row r="59" spans="1:12" x14ac:dyDescent="0.25">
      <c r="A59">
        <v>3</v>
      </c>
      <c r="B59" s="1">
        <v>45690</v>
      </c>
      <c r="C59" t="s">
        <v>15</v>
      </c>
      <c r="D59">
        <v>8</v>
      </c>
      <c r="E59">
        <v>9</v>
      </c>
      <c r="F59" t="s">
        <v>42</v>
      </c>
      <c r="G59">
        <f t="shared" si="18"/>
        <v>3</v>
      </c>
      <c r="H59">
        <f t="shared" si="19"/>
        <v>0</v>
      </c>
      <c r="I59">
        <f t="shared" si="20"/>
        <v>3</v>
      </c>
      <c r="J59">
        <f t="shared" si="15"/>
        <v>0</v>
      </c>
      <c r="K59">
        <f t="shared" si="16"/>
        <v>0</v>
      </c>
      <c r="L59">
        <f t="shared" si="17"/>
        <v>-1</v>
      </c>
    </row>
    <row r="60" spans="1:12" x14ac:dyDescent="0.25">
      <c r="A60">
        <v>3</v>
      </c>
      <c r="B60" s="1">
        <v>45690</v>
      </c>
      <c r="C60" t="s">
        <v>15</v>
      </c>
      <c r="D60">
        <v>9</v>
      </c>
      <c r="E60">
        <v>8</v>
      </c>
      <c r="F60" t="s">
        <v>18</v>
      </c>
      <c r="G60">
        <f t="shared" si="18"/>
        <v>2</v>
      </c>
      <c r="H60">
        <f t="shared" si="19"/>
        <v>0</v>
      </c>
      <c r="I60">
        <f t="shared" si="20"/>
        <v>2</v>
      </c>
      <c r="J60">
        <f t="shared" si="15"/>
        <v>0</v>
      </c>
      <c r="K60">
        <f t="shared" si="16"/>
        <v>0</v>
      </c>
      <c r="L60">
        <f t="shared" si="17"/>
        <v>1</v>
      </c>
    </row>
    <row r="61" spans="1:12" x14ac:dyDescent="0.25">
      <c r="A61">
        <v>3</v>
      </c>
      <c r="B61" s="1">
        <v>45690</v>
      </c>
      <c r="C61" t="s">
        <v>15</v>
      </c>
      <c r="D61">
        <v>10</v>
      </c>
      <c r="E61">
        <v>11</v>
      </c>
      <c r="F61" t="s">
        <v>47</v>
      </c>
      <c r="G61">
        <f t="shared" si="18"/>
        <v>1</v>
      </c>
      <c r="H61">
        <f t="shared" si="19"/>
        <v>0</v>
      </c>
      <c r="I61">
        <f t="shared" si="20"/>
        <v>1</v>
      </c>
      <c r="J61">
        <f t="shared" si="15"/>
        <v>0</v>
      </c>
      <c r="K61">
        <f t="shared" si="16"/>
        <v>0</v>
      </c>
      <c r="L61">
        <f t="shared" si="17"/>
        <v>-1</v>
      </c>
    </row>
    <row r="62" spans="1:12" x14ac:dyDescent="0.25">
      <c r="A62">
        <v>4</v>
      </c>
      <c r="B62" s="1">
        <v>45697</v>
      </c>
      <c r="C62" t="s">
        <v>4</v>
      </c>
      <c r="D62">
        <v>1</v>
      </c>
      <c r="E62">
        <v>1</v>
      </c>
      <c r="F62" t="s">
        <v>20</v>
      </c>
      <c r="G62">
        <f t="shared" si="18"/>
        <v>10</v>
      </c>
      <c r="H62">
        <f t="shared" si="19"/>
        <v>9</v>
      </c>
      <c r="I62">
        <f t="shared" si="20"/>
        <v>19</v>
      </c>
      <c r="J62">
        <f t="shared" ref="J62:J81" si="21">COUNTIF(D62,"=1")</f>
        <v>1</v>
      </c>
      <c r="K62">
        <f t="shared" ref="K62:K81" si="22">COUNTIF(D62,"&lt;4")</f>
        <v>1</v>
      </c>
      <c r="L62">
        <f t="shared" ref="L62:L81" si="23">D62-E62</f>
        <v>0</v>
      </c>
    </row>
    <row r="63" spans="1:12" x14ac:dyDescent="0.25">
      <c r="A63">
        <v>4</v>
      </c>
      <c r="B63" s="1">
        <v>45697</v>
      </c>
      <c r="C63" t="s">
        <v>4</v>
      </c>
      <c r="D63">
        <v>2</v>
      </c>
      <c r="E63">
        <v>2</v>
      </c>
      <c r="F63" t="s">
        <v>14</v>
      </c>
      <c r="G63">
        <f t="shared" si="18"/>
        <v>9</v>
      </c>
      <c r="H63">
        <f t="shared" si="19"/>
        <v>7</v>
      </c>
      <c r="I63">
        <f t="shared" si="20"/>
        <v>16</v>
      </c>
      <c r="J63">
        <f t="shared" si="21"/>
        <v>0</v>
      </c>
      <c r="K63">
        <f t="shared" si="22"/>
        <v>1</v>
      </c>
      <c r="L63">
        <f t="shared" si="23"/>
        <v>0</v>
      </c>
    </row>
    <row r="64" spans="1:12" x14ac:dyDescent="0.25">
      <c r="A64">
        <v>4</v>
      </c>
      <c r="B64" s="1">
        <v>45697</v>
      </c>
      <c r="C64" t="s">
        <v>4</v>
      </c>
      <c r="D64">
        <v>3</v>
      </c>
      <c r="E64">
        <v>4</v>
      </c>
      <c r="F64" t="s">
        <v>37</v>
      </c>
      <c r="G64">
        <f t="shared" si="18"/>
        <v>8</v>
      </c>
      <c r="H64">
        <f t="shared" si="19"/>
        <v>5</v>
      </c>
      <c r="I64">
        <f t="shared" si="20"/>
        <v>13</v>
      </c>
      <c r="J64">
        <f t="shared" si="21"/>
        <v>0</v>
      </c>
      <c r="K64">
        <f t="shared" si="22"/>
        <v>1</v>
      </c>
      <c r="L64">
        <f t="shared" si="23"/>
        <v>-1</v>
      </c>
    </row>
    <row r="65" spans="1:12" x14ac:dyDescent="0.25">
      <c r="A65">
        <v>4</v>
      </c>
      <c r="B65" s="1">
        <v>45697</v>
      </c>
      <c r="C65" t="s">
        <v>4</v>
      </c>
      <c r="D65">
        <v>4</v>
      </c>
      <c r="E65">
        <v>5</v>
      </c>
      <c r="F65" t="s">
        <v>40</v>
      </c>
      <c r="G65">
        <f t="shared" si="18"/>
        <v>7</v>
      </c>
      <c r="H65">
        <f t="shared" si="19"/>
        <v>3</v>
      </c>
      <c r="I65">
        <f t="shared" si="20"/>
        <v>10</v>
      </c>
      <c r="J65">
        <f t="shared" si="21"/>
        <v>0</v>
      </c>
      <c r="K65">
        <f t="shared" si="22"/>
        <v>0</v>
      </c>
      <c r="L65">
        <f t="shared" si="23"/>
        <v>-1</v>
      </c>
    </row>
    <row r="66" spans="1:12" x14ac:dyDescent="0.25">
      <c r="A66">
        <v>4</v>
      </c>
      <c r="B66" s="1">
        <v>45697</v>
      </c>
      <c r="C66" t="s">
        <v>4</v>
      </c>
      <c r="D66">
        <v>5</v>
      </c>
      <c r="E66">
        <v>3</v>
      </c>
      <c r="F66" t="s">
        <v>11</v>
      </c>
      <c r="G66">
        <f t="shared" si="18"/>
        <v>6</v>
      </c>
      <c r="H66">
        <f t="shared" si="19"/>
        <v>1</v>
      </c>
      <c r="I66">
        <f t="shared" si="20"/>
        <v>7</v>
      </c>
      <c r="J66">
        <f t="shared" si="21"/>
        <v>0</v>
      </c>
      <c r="K66">
        <f t="shared" si="22"/>
        <v>0</v>
      </c>
      <c r="L66">
        <f t="shared" si="23"/>
        <v>2</v>
      </c>
    </row>
    <row r="67" spans="1:12" x14ac:dyDescent="0.25">
      <c r="A67">
        <v>4</v>
      </c>
      <c r="B67" s="1">
        <v>45697</v>
      </c>
      <c r="C67" t="s">
        <v>4</v>
      </c>
      <c r="D67">
        <v>6</v>
      </c>
      <c r="E67">
        <v>7</v>
      </c>
      <c r="F67" t="s">
        <v>44</v>
      </c>
      <c r="G67">
        <f t="shared" si="18"/>
        <v>5</v>
      </c>
      <c r="H67">
        <f t="shared" si="19"/>
        <v>0</v>
      </c>
      <c r="I67">
        <f t="shared" si="20"/>
        <v>5</v>
      </c>
      <c r="J67">
        <f t="shared" si="21"/>
        <v>0</v>
      </c>
      <c r="K67">
        <f t="shared" si="22"/>
        <v>0</v>
      </c>
      <c r="L67">
        <f t="shared" si="23"/>
        <v>-1</v>
      </c>
    </row>
    <row r="68" spans="1:12" x14ac:dyDescent="0.25">
      <c r="A68">
        <v>4</v>
      </c>
      <c r="B68" s="1">
        <v>45697</v>
      </c>
      <c r="C68" t="s">
        <v>4</v>
      </c>
      <c r="D68">
        <v>7</v>
      </c>
      <c r="E68">
        <v>8</v>
      </c>
      <c r="F68" t="s">
        <v>45</v>
      </c>
      <c r="G68">
        <f t="shared" si="18"/>
        <v>4</v>
      </c>
      <c r="H68">
        <f t="shared" si="19"/>
        <v>0</v>
      </c>
      <c r="I68">
        <f t="shared" si="20"/>
        <v>4</v>
      </c>
      <c r="J68">
        <f t="shared" si="21"/>
        <v>0</v>
      </c>
      <c r="K68">
        <f t="shared" si="22"/>
        <v>0</v>
      </c>
      <c r="L68">
        <f t="shared" si="23"/>
        <v>-1</v>
      </c>
    </row>
    <row r="69" spans="1:12" x14ac:dyDescent="0.25">
      <c r="A69">
        <v>4</v>
      </c>
      <c r="B69" s="1">
        <v>45697</v>
      </c>
      <c r="C69" t="s">
        <v>4</v>
      </c>
      <c r="D69">
        <v>8</v>
      </c>
      <c r="E69">
        <v>9</v>
      </c>
      <c r="F69" t="s">
        <v>46</v>
      </c>
      <c r="G69">
        <f t="shared" si="18"/>
        <v>3</v>
      </c>
      <c r="H69">
        <f t="shared" si="19"/>
        <v>0</v>
      </c>
      <c r="I69">
        <f t="shared" si="20"/>
        <v>3</v>
      </c>
      <c r="J69">
        <f t="shared" si="21"/>
        <v>0</v>
      </c>
      <c r="K69">
        <f t="shared" si="22"/>
        <v>0</v>
      </c>
      <c r="L69">
        <f t="shared" si="23"/>
        <v>-1</v>
      </c>
    </row>
    <row r="70" spans="1:12" x14ac:dyDescent="0.25">
      <c r="A70">
        <v>4</v>
      </c>
      <c r="B70" s="1">
        <v>45697</v>
      </c>
      <c r="C70" t="s">
        <v>4</v>
      </c>
      <c r="D70">
        <v>9</v>
      </c>
      <c r="E70">
        <v>6</v>
      </c>
      <c r="F70" t="s">
        <v>10</v>
      </c>
      <c r="G70">
        <f t="shared" si="18"/>
        <v>2</v>
      </c>
      <c r="H70">
        <f t="shared" si="19"/>
        <v>0</v>
      </c>
      <c r="I70">
        <f t="shared" si="20"/>
        <v>2</v>
      </c>
      <c r="J70">
        <f t="shared" si="21"/>
        <v>0</v>
      </c>
      <c r="K70">
        <f t="shared" si="22"/>
        <v>0</v>
      </c>
      <c r="L70">
        <f t="shared" si="23"/>
        <v>3</v>
      </c>
    </row>
    <row r="71" spans="1:12" x14ac:dyDescent="0.25">
      <c r="A71">
        <v>4</v>
      </c>
      <c r="B71" s="1">
        <v>45697</v>
      </c>
      <c r="C71" t="s">
        <v>4</v>
      </c>
      <c r="D71">
        <v>10</v>
      </c>
      <c r="E71">
        <v>11</v>
      </c>
      <c r="F71" t="s">
        <v>48</v>
      </c>
      <c r="G71">
        <f t="shared" si="18"/>
        <v>1</v>
      </c>
      <c r="H71">
        <f t="shared" si="19"/>
        <v>0</v>
      </c>
      <c r="I71">
        <f t="shared" si="20"/>
        <v>1</v>
      </c>
      <c r="J71">
        <f t="shared" si="21"/>
        <v>0</v>
      </c>
      <c r="K71">
        <f t="shared" si="22"/>
        <v>0</v>
      </c>
      <c r="L71">
        <f t="shared" si="23"/>
        <v>-1</v>
      </c>
    </row>
    <row r="72" spans="1:12" x14ac:dyDescent="0.25">
      <c r="A72">
        <v>4</v>
      </c>
      <c r="B72" s="1">
        <v>45697</v>
      </c>
      <c r="C72" t="s">
        <v>15</v>
      </c>
      <c r="D72">
        <v>1</v>
      </c>
      <c r="E72">
        <v>1</v>
      </c>
      <c r="F72" t="s">
        <v>39</v>
      </c>
      <c r="G72">
        <f t="shared" si="18"/>
        <v>10</v>
      </c>
      <c r="H72">
        <f t="shared" si="19"/>
        <v>9</v>
      </c>
      <c r="I72">
        <f t="shared" si="20"/>
        <v>19</v>
      </c>
      <c r="J72">
        <f t="shared" si="21"/>
        <v>1</v>
      </c>
      <c r="K72">
        <f t="shared" si="22"/>
        <v>1</v>
      </c>
      <c r="L72">
        <f t="shared" si="23"/>
        <v>0</v>
      </c>
    </row>
    <row r="73" spans="1:12" x14ac:dyDescent="0.25">
      <c r="A73">
        <v>4</v>
      </c>
      <c r="B73" s="1">
        <v>45697</v>
      </c>
      <c r="C73" t="s">
        <v>15</v>
      </c>
      <c r="D73">
        <v>2</v>
      </c>
      <c r="E73">
        <v>3</v>
      </c>
      <c r="F73" t="s">
        <v>41</v>
      </c>
      <c r="G73">
        <f t="shared" si="18"/>
        <v>9</v>
      </c>
      <c r="H73">
        <f t="shared" si="19"/>
        <v>7</v>
      </c>
      <c r="I73">
        <f t="shared" si="20"/>
        <v>16</v>
      </c>
      <c r="J73">
        <f t="shared" si="21"/>
        <v>0</v>
      </c>
      <c r="K73">
        <f t="shared" si="22"/>
        <v>1</v>
      </c>
      <c r="L73">
        <f t="shared" si="23"/>
        <v>-1</v>
      </c>
    </row>
    <row r="74" spans="1:12" x14ac:dyDescent="0.25">
      <c r="A74">
        <v>4</v>
      </c>
      <c r="B74" s="1">
        <v>45697</v>
      </c>
      <c r="C74" t="s">
        <v>15</v>
      </c>
      <c r="D74">
        <v>3</v>
      </c>
      <c r="E74">
        <v>2</v>
      </c>
      <c r="F74" t="s">
        <v>19</v>
      </c>
      <c r="G74">
        <f t="shared" ref="G74:G93" si="24">11-D74</f>
        <v>8</v>
      </c>
      <c r="H74">
        <f t="shared" ref="H74:H93" si="25">IF(D74&lt;6,11-2*D74,0)</f>
        <v>5</v>
      </c>
      <c r="I74">
        <f t="shared" ref="I74:I93" si="26">G74+H74</f>
        <v>13</v>
      </c>
      <c r="J74">
        <f t="shared" si="21"/>
        <v>0</v>
      </c>
      <c r="K74">
        <f t="shared" si="22"/>
        <v>1</v>
      </c>
      <c r="L74">
        <f t="shared" si="23"/>
        <v>1</v>
      </c>
    </row>
    <row r="75" spans="1:12" x14ac:dyDescent="0.25">
      <c r="A75">
        <v>4</v>
      </c>
      <c r="B75" s="1">
        <v>45697</v>
      </c>
      <c r="C75" t="s">
        <v>15</v>
      </c>
      <c r="D75">
        <v>4</v>
      </c>
      <c r="E75">
        <v>4</v>
      </c>
      <c r="F75" t="s">
        <v>38</v>
      </c>
      <c r="G75">
        <f t="shared" si="24"/>
        <v>7</v>
      </c>
      <c r="H75">
        <f t="shared" si="25"/>
        <v>3</v>
      </c>
      <c r="I75">
        <f t="shared" si="26"/>
        <v>10</v>
      </c>
      <c r="J75">
        <f t="shared" si="21"/>
        <v>0</v>
      </c>
      <c r="K75">
        <f t="shared" si="22"/>
        <v>0</v>
      </c>
      <c r="L75">
        <f t="shared" si="23"/>
        <v>0</v>
      </c>
    </row>
    <row r="76" spans="1:12" x14ac:dyDescent="0.25">
      <c r="A76">
        <v>4</v>
      </c>
      <c r="B76" s="1">
        <v>45697</v>
      </c>
      <c r="C76" t="s">
        <v>15</v>
      </c>
      <c r="D76">
        <v>5</v>
      </c>
      <c r="E76">
        <v>5</v>
      </c>
      <c r="F76" t="s">
        <v>31</v>
      </c>
      <c r="G76">
        <f t="shared" si="24"/>
        <v>6</v>
      </c>
      <c r="H76">
        <f t="shared" si="25"/>
        <v>1</v>
      </c>
      <c r="I76">
        <f t="shared" si="26"/>
        <v>7</v>
      </c>
      <c r="J76">
        <f t="shared" si="21"/>
        <v>0</v>
      </c>
      <c r="K76">
        <f t="shared" si="22"/>
        <v>0</v>
      </c>
      <c r="L76">
        <f t="shared" si="23"/>
        <v>0</v>
      </c>
    </row>
    <row r="77" spans="1:12" x14ac:dyDescent="0.25">
      <c r="A77">
        <v>4</v>
      </c>
      <c r="B77" s="1">
        <v>45697</v>
      </c>
      <c r="C77" t="s">
        <v>15</v>
      </c>
      <c r="D77">
        <v>6</v>
      </c>
      <c r="E77">
        <v>7</v>
      </c>
      <c r="F77" t="s">
        <v>43</v>
      </c>
      <c r="G77">
        <f t="shared" si="24"/>
        <v>5</v>
      </c>
      <c r="H77">
        <f t="shared" si="25"/>
        <v>0</v>
      </c>
      <c r="I77">
        <f t="shared" si="26"/>
        <v>5</v>
      </c>
      <c r="J77">
        <f t="shared" si="21"/>
        <v>0</v>
      </c>
      <c r="K77">
        <f t="shared" si="22"/>
        <v>0</v>
      </c>
      <c r="L77">
        <f t="shared" si="23"/>
        <v>-1</v>
      </c>
    </row>
    <row r="78" spans="1:12" x14ac:dyDescent="0.25">
      <c r="A78">
        <v>4</v>
      </c>
      <c r="B78" s="1">
        <v>45697</v>
      </c>
      <c r="C78" t="s">
        <v>15</v>
      </c>
      <c r="D78">
        <v>7</v>
      </c>
      <c r="E78">
        <v>6</v>
      </c>
      <c r="F78" t="s">
        <v>16</v>
      </c>
      <c r="G78">
        <f t="shared" si="24"/>
        <v>4</v>
      </c>
      <c r="H78">
        <f t="shared" si="25"/>
        <v>0</v>
      </c>
      <c r="I78">
        <f t="shared" si="26"/>
        <v>4</v>
      </c>
      <c r="J78">
        <f t="shared" si="21"/>
        <v>0</v>
      </c>
      <c r="K78">
        <f t="shared" si="22"/>
        <v>0</v>
      </c>
      <c r="L78">
        <f t="shared" si="23"/>
        <v>1</v>
      </c>
    </row>
    <row r="79" spans="1:12" x14ac:dyDescent="0.25">
      <c r="A79">
        <v>4</v>
      </c>
      <c r="B79" s="1">
        <v>45697</v>
      </c>
      <c r="C79" t="s">
        <v>15</v>
      </c>
      <c r="D79">
        <v>8</v>
      </c>
      <c r="E79">
        <v>10</v>
      </c>
      <c r="F79" t="s">
        <v>47</v>
      </c>
      <c r="G79">
        <f t="shared" si="24"/>
        <v>3</v>
      </c>
      <c r="H79">
        <f t="shared" si="25"/>
        <v>0</v>
      </c>
      <c r="I79">
        <f t="shared" si="26"/>
        <v>3</v>
      </c>
      <c r="J79">
        <f t="shared" si="21"/>
        <v>0</v>
      </c>
      <c r="K79">
        <f t="shared" si="22"/>
        <v>0</v>
      </c>
      <c r="L79">
        <f t="shared" si="23"/>
        <v>-2</v>
      </c>
    </row>
    <row r="80" spans="1:12" x14ac:dyDescent="0.25">
      <c r="A80">
        <v>4</v>
      </c>
      <c r="B80" s="1">
        <v>45697</v>
      </c>
      <c r="C80" t="s">
        <v>15</v>
      </c>
      <c r="D80">
        <v>9</v>
      </c>
      <c r="E80">
        <v>9</v>
      </c>
      <c r="F80" t="s">
        <v>18</v>
      </c>
      <c r="G80">
        <f t="shared" si="24"/>
        <v>2</v>
      </c>
      <c r="H80">
        <f t="shared" si="25"/>
        <v>0</v>
      </c>
      <c r="I80">
        <f t="shared" si="26"/>
        <v>2</v>
      </c>
      <c r="J80">
        <f t="shared" si="21"/>
        <v>0</v>
      </c>
      <c r="K80">
        <f t="shared" si="22"/>
        <v>0</v>
      </c>
      <c r="L80">
        <f t="shared" si="23"/>
        <v>0</v>
      </c>
    </row>
    <row r="81" spans="1:12" x14ac:dyDescent="0.25">
      <c r="A81">
        <v>4</v>
      </c>
      <c r="B81" s="1">
        <v>45697</v>
      </c>
      <c r="C81" t="s">
        <v>15</v>
      </c>
      <c r="D81">
        <v>10</v>
      </c>
      <c r="E81">
        <v>11</v>
      </c>
      <c r="F81" t="s">
        <v>49</v>
      </c>
      <c r="G81">
        <f t="shared" si="24"/>
        <v>1</v>
      </c>
      <c r="H81">
        <f t="shared" si="25"/>
        <v>0</v>
      </c>
      <c r="I81">
        <f t="shared" si="26"/>
        <v>1</v>
      </c>
      <c r="J81">
        <f t="shared" si="21"/>
        <v>0</v>
      </c>
      <c r="K81">
        <f t="shared" si="22"/>
        <v>0</v>
      </c>
      <c r="L81">
        <f t="shared" si="23"/>
        <v>-1</v>
      </c>
    </row>
    <row r="82" spans="1:12" x14ac:dyDescent="0.25">
      <c r="A82">
        <v>5</v>
      </c>
      <c r="B82" s="1">
        <v>45711</v>
      </c>
      <c r="C82" t="s">
        <v>4</v>
      </c>
      <c r="D82">
        <v>1</v>
      </c>
      <c r="E82">
        <v>1</v>
      </c>
      <c r="F82" t="s">
        <v>20</v>
      </c>
      <c r="G82">
        <f t="shared" si="24"/>
        <v>10</v>
      </c>
      <c r="H82">
        <f t="shared" si="25"/>
        <v>9</v>
      </c>
      <c r="I82">
        <f t="shared" si="26"/>
        <v>19</v>
      </c>
      <c r="J82">
        <f t="shared" ref="J82:J101" si="27">COUNTIF(D82,"=1")</f>
        <v>1</v>
      </c>
      <c r="K82">
        <f t="shared" ref="K82:K101" si="28">COUNTIF(D82,"&lt;4")</f>
        <v>1</v>
      </c>
      <c r="L82">
        <f t="shared" ref="L82:L101" si="29">D82-E82</f>
        <v>0</v>
      </c>
    </row>
    <row r="83" spans="1:12" x14ac:dyDescent="0.25">
      <c r="A83">
        <v>5</v>
      </c>
      <c r="B83" s="1">
        <v>45711</v>
      </c>
      <c r="C83" t="s">
        <v>4</v>
      </c>
      <c r="D83">
        <v>2</v>
      </c>
      <c r="E83">
        <v>2</v>
      </c>
      <c r="F83" t="s">
        <v>14</v>
      </c>
      <c r="G83">
        <f t="shared" si="24"/>
        <v>9</v>
      </c>
      <c r="H83">
        <f t="shared" si="25"/>
        <v>7</v>
      </c>
      <c r="I83">
        <f t="shared" si="26"/>
        <v>16</v>
      </c>
      <c r="J83">
        <f t="shared" si="27"/>
        <v>0</v>
      </c>
      <c r="K83">
        <f t="shared" si="28"/>
        <v>1</v>
      </c>
      <c r="L83">
        <f t="shared" si="29"/>
        <v>0</v>
      </c>
    </row>
    <row r="84" spans="1:12" x14ac:dyDescent="0.25">
      <c r="A84">
        <v>5</v>
      </c>
      <c r="B84" s="1">
        <v>45711</v>
      </c>
      <c r="C84" t="s">
        <v>4</v>
      </c>
      <c r="D84">
        <v>3</v>
      </c>
      <c r="E84">
        <v>6</v>
      </c>
      <c r="F84" t="s">
        <v>44</v>
      </c>
      <c r="G84">
        <f t="shared" si="24"/>
        <v>8</v>
      </c>
      <c r="H84">
        <f t="shared" si="25"/>
        <v>5</v>
      </c>
      <c r="I84">
        <f t="shared" si="26"/>
        <v>13</v>
      </c>
      <c r="J84">
        <f t="shared" si="27"/>
        <v>0</v>
      </c>
      <c r="K84">
        <f t="shared" si="28"/>
        <v>1</v>
      </c>
      <c r="L84">
        <f t="shared" si="29"/>
        <v>-3</v>
      </c>
    </row>
    <row r="85" spans="1:12" x14ac:dyDescent="0.25">
      <c r="A85">
        <v>5</v>
      </c>
      <c r="B85" s="1">
        <v>45711</v>
      </c>
      <c r="C85" t="s">
        <v>4</v>
      </c>
      <c r="D85">
        <v>4</v>
      </c>
      <c r="E85">
        <v>3</v>
      </c>
      <c r="F85" t="s">
        <v>37</v>
      </c>
      <c r="G85">
        <f t="shared" si="24"/>
        <v>7</v>
      </c>
      <c r="H85">
        <f t="shared" si="25"/>
        <v>3</v>
      </c>
      <c r="I85">
        <f t="shared" si="26"/>
        <v>10</v>
      </c>
      <c r="J85">
        <f t="shared" si="27"/>
        <v>0</v>
      </c>
      <c r="K85">
        <f t="shared" si="28"/>
        <v>0</v>
      </c>
      <c r="L85">
        <f t="shared" si="29"/>
        <v>1</v>
      </c>
    </row>
    <row r="86" spans="1:12" x14ac:dyDescent="0.25">
      <c r="A86">
        <v>5</v>
      </c>
      <c r="B86" s="1">
        <v>45711</v>
      </c>
      <c r="C86" t="s">
        <v>4</v>
      </c>
      <c r="D86">
        <v>5</v>
      </c>
      <c r="E86">
        <v>4</v>
      </c>
      <c r="F86" t="s">
        <v>40</v>
      </c>
      <c r="G86">
        <f t="shared" si="24"/>
        <v>6</v>
      </c>
      <c r="H86">
        <f t="shared" si="25"/>
        <v>1</v>
      </c>
      <c r="I86">
        <f t="shared" si="26"/>
        <v>7</v>
      </c>
      <c r="J86">
        <f t="shared" si="27"/>
        <v>0</v>
      </c>
      <c r="K86">
        <f t="shared" si="28"/>
        <v>0</v>
      </c>
      <c r="L86">
        <f t="shared" si="29"/>
        <v>1</v>
      </c>
    </row>
    <row r="87" spans="1:12" x14ac:dyDescent="0.25">
      <c r="A87">
        <v>5</v>
      </c>
      <c r="B87" s="1">
        <v>45711</v>
      </c>
      <c r="C87" t="s">
        <v>4</v>
      </c>
      <c r="D87">
        <v>6</v>
      </c>
      <c r="E87">
        <v>7</v>
      </c>
      <c r="F87" t="s">
        <v>45</v>
      </c>
      <c r="G87">
        <f t="shared" si="24"/>
        <v>5</v>
      </c>
      <c r="H87">
        <f t="shared" si="25"/>
        <v>0</v>
      </c>
      <c r="I87">
        <f t="shared" si="26"/>
        <v>5</v>
      </c>
      <c r="J87">
        <f t="shared" si="27"/>
        <v>0</v>
      </c>
      <c r="K87">
        <f t="shared" si="28"/>
        <v>0</v>
      </c>
      <c r="L87">
        <f t="shared" si="29"/>
        <v>-1</v>
      </c>
    </row>
    <row r="88" spans="1:12" x14ac:dyDescent="0.25">
      <c r="A88">
        <v>5</v>
      </c>
      <c r="B88" s="1">
        <v>45711</v>
      </c>
      <c r="C88" t="s">
        <v>4</v>
      </c>
      <c r="D88">
        <v>7</v>
      </c>
      <c r="E88">
        <v>5</v>
      </c>
      <c r="F88" t="s">
        <v>11</v>
      </c>
      <c r="G88">
        <f t="shared" si="24"/>
        <v>4</v>
      </c>
      <c r="H88">
        <f t="shared" si="25"/>
        <v>0</v>
      </c>
      <c r="I88">
        <f t="shared" si="26"/>
        <v>4</v>
      </c>
      <c r="J88">
        <f t="shared" si="27"/>
        <v>0</v>
      </c>
      <c r="K88">
        <f t="shared" si="28"/>
        <v>0</v>
      </c>
      <c r="L88">
        <f t="shared" si="29"/>
        <v>2</v>
      </c>
    </row>
    <row r="89" spans="1:12" x14ac:dyDescent="0.25">
      <c r="A89">
        <v>5</v>
      </c>
      <c r="B89" s="1">
        <v>45711</v>
      </c>
      <c r="C89" t="s">
        <v>4</v>
      </c>
      <c r="D89">
        <v>8</v>
      </c>
      <c r="E89">
        <v>8</v>
      </c>
      <c r="F89" t="s">
        <v>46</v>
      </c>
      <c r="G89">
        <f t="shared" si="24"/>
        <v>3</v>
      </c>
      <c r="H89">
        <f t="shared" si="25"/>
        <v>0</v>
      </c>
      <c r="I89">
        <f t="shared" si="26"/>
        <v>3</v>
      </c>
      <c r="J89">
        <f t="shared" si="27"/>
        <v>0</v>
      </c>
      <c r="K89">
        <f t="shared" si="28"/>
        <v>0</v>
      </c>
      <c r="L89">
        <f t="shared" si="29"/>
        <v>0</v>
      </c>
    </row>
    <row r="90" spans="1:12" x14ac:dyDescent="0.25">
      <c r="A90">
        <v>5</v>
      </c>
      <c r="B90" s="1">
        <v>45711</v>
      </c>
      <c r="C90" t="s">
        <v>4</v>
      </c>
      <c r="D90">
        <v>9</v>
      </c>
      <c r="E90">
        <v>10</v>
      </c>
      <c r="F90" t="s">
        <v>48</v>
      </c>
      <c r="G90">
        <f t="shared" si="24"/>
        <v>2</v>
      </c>
      <c r="H90">
        <f t="shared" si="25"/>
        <v>0</v>
      </c>
      <c r="I90">
        <f t="shared" si="26"/>
        <v>2</v>
      </c>
      <c r="J90">
        <f t="shared" si="27"/>
        <v>0</v>
      </c>
      <c r="K90">
        <f t="shared" si="28"/>
        <v>0</v>
      </c>
      <c r="L90">
        <f t="shared" si="29"/>
        <v>-1</v>
      </c>
    </row>
    <row r="91" spans="1:12" x14ac:dyDescent="0.25">
      <c r="A91">
        <v>5</v>
      </c>
      <c r="B91" s="1">
        <v>45711</v>
      </c>
      <c r="C91" t="s">
        <v>4</v>
      </c>
      <c r="D91">
        <v>10</v>
      </c>
      <c r="E91">
        <v>9</v>
      </c>
      <c r="F91" t="s">
        <v>10</v>
      </c>
      <c r="G91">
        <f t="shared" si="24"/>
        <v>1</v>
      </c>
      <c r="H91">
        <f t="shared" si="25"/>
        <v>0</v>
      </c>
      <c r="I91">
        <f t="shared" si="26"/>
        <v>1</v>
      </c>
      <c r="J91">
        <f t="shared" si="27"/>
        <v>0</v>
      </c>
      <c r="K91">
        <f t="shared" si="28"/>
        <v>0</v>
      </c>
      <c r="L91">
        <f t="shared" si="29"/>
        <v>1</v>
      </c>
    </row>
    <row r="92" spans="1:12" x14ac:dyDescent="0.25">
      <c r="A92">
        <v>5</v>
      </c>
      <c r="B92" s="1">
        <v>45711</v>
      </c>
      <c r="C92" t="s">
        <v>15</v>
      </c>
      <c r="D92">
        <v>1</v>
      </c>
      <c r="E92">
        <v>1</v>
      </c>
      <c r="F92" t="s">
        <v>39</v>
      </c>
      <c r="G92">
        <f t="shared" si="24"/>
        <v>10</v>
      </c>
      <c r="H92">
        <f t="shared" si="25"/>
        <v>9</v>
      </c>
      <c r="I92">
        <f t="shared" si="26"/>
        <v>19</v>
      </c>
      <c r="J92">
        <f t="shared" si="27"/>
        <v>1</v>
      </c>
      <c r="K92">
        <f t="shared" si="28"/>
        <v>1</v>
      </c>
      <c r="L92">
        <f t="shared" si="29"/>
        <v>0</v>
      </c>
    </row>
    <row r="93" spans="1:12" x14ac:dyDescent="0.25">
      <c r="A93">
        <v>5</v>
      </c>
      <c r="B93" s="1">
        <v>45711</v>
      </c>
      <c r="C93" t="s">
        <v>15</v>
      </c>
      <c r="D93">
        <v>2</v>
      </c>
      <c r="E93">
        <v>2</v>
      </c>
      <c r="F93" t="s">
        <v>41</v>
      </c>
      <c r="G93">
        <f t="shared" si="24"/>
        <v>9</v>
      </c>
      <c r="H93">
        <f t="shared" si="25"/>
        <v>7</v>
      </c>
      <c r="I93">
        <f t="shared" si="26"/>
        <v>16</v>
      </c>
      <c r="J93">
        <f t="shared" si="27"/>
        <v>0</v>
      </c>
      <c r="K93">
        <f t="shared" si="28"/>
        <v>1</v>
      </c>
      <c r="L93">
        <f t="shared" si="29"/>
        <v>0</v>
      </c>
    </row>
    <row r="94" spans="1:12" x14ac:dyDescent="0.25">
      <c r="A94">
        <v>5</v>
      </c>
      <c r="B94" s="1">
        <v>45711</v>
      </c>
      <c r="C94" t="s">
        <v>15</v>
      </c>
      <c r="D94">
        <v>3</v>
      </c>
      <c r="E94">
        <v>3</v>
      </c>
      <c r="F94" t="s">
        <v>19</v>
      </c>
      <c r="G94">
        <f t="shared" ref="G94:G113" si="30">11-D94</f>
        <v>8</v>
      </c>
      <c r="H94">
        <f t="shared" ref="H94:H113" si="31">IF(D94&lt;6,11-2*D94,0)</f>
        <v>5</v>
      </c>
      <c r="I94">
        <f t="shared" ref="I94:I113" si="32">G94+H94</f>
        <v>13</v>
      </c>
      <c r="J94">
        <f t="shared" si="27"/>
        <v>0</v>
      </c>
      <c r="K94">
        <f t="shared" si="28"/>
        <v>1</v>
      </c>
      <c r="L94">
        <f t="shared" si="29"/>
        <v>0</v>
      </c>
    </row>
    <row r="95" spans="1:12" x14ac:dyDescent="0.25">
      <c r="A95">
        <v>5</v>
      </c>
      <c r="B95" s="1">
        <v>45711</v>
      </c>
      <c r="C95" t="s">
        <v>15</v>
      </c>
      <c r="D95">
        <v>4</v>
      </c>
      <c r="E95">
        <v>6</v>
      </c>
      <c r="F95" t="s">
        <v>43</v>
      </c>
      <c r="G95">
        <f t="shared" si="30"/>
        <v>7</v>
      </c>
      <c r="H95">
        <f t="shared" si="31"/>
        <v>3</v>
      </c>
      <c r="I95">
        <f t="shared" si="32"/>
        <v>10</v>
      </c>
      <c r="J95">
        <f t="shared" si="27"/>
        <v>0</v>
      </c>
      <c r="K95">
        <f t="shared" si="28"/>
        <v>0</v>
      </c>
      <c r="L95">
        <f t="shared" si="29"/>
        <v>-2</v>
      </c>
    </row>
    <row r="96" spans="1:12" x14ac:dyDescent="0.25">
      <c r="A96">
        <v>5</v>
      </c>
      <c r="B96" s="1">
        <v>45711</v>
      </c>
      <c r="C96" t="s">
        <v>15</v>
      </c>
      <c r="D96">
        <v>5</v>
      </c>
      <c r="E96">
        <v>4</v>
      </c>
      <c r="F96" t="s">
        <v>38</v>
      </c>
      <c r="G96">
        <f t="shared" si="30"/>
        <v>6</v>
      </c>
      <c r="H96">
        <f t="shared" si="31"/>
        <v>1</v>
      </c>
      <c r="I96">
        <f t="shared" si="32"/>
        <v>7</v>
      </c>
      <c r="J96">
        <f t="shared" si="27"/>
        <v>0</v>
      </c>
      <c r="K96">
        <f t="shared" si="28"/>
        <v>0</v>
      </c>
      <c r="L96">
        <f t="shared" si="29"/>
        <v>1</v>
      </c>
    </row>
    <row r="97" spans="1:12" x14ac:dyDescent="0.25">
      <c r="A97">
        <v>5</v>
      </c>
      <c r="B97" s="1">
        <v>45711</v>
      </c>
      <c r="C97" t="s">
        <v>15</v>
      </c>
      <c r="D97">
        <v>6</v>
      </c>
      <c r="E97">
        <v>5</v>
      </c>
      <c r="F97" t="s">
        <v>31</v>
      </c>
      <c r="G97">
        <f t="shared" si="30"/>
        <v>5</v>
      </c>
      <c r="H97">
        <f t="shared" si="31"/>
        <v>0</v>
      </c>
      <c r="I97">
        <f t="shared" si="32"/>
        <v>5</v>
      </c>
      <c r="J97">
        <f t="shared" si="27"/>
        <v>0</v>
      </c>
      <c r="K97">
        <f t="shared" si="28"/>
        <v>0</v>
      </c>
      <c r="L97">
        <f t="shared" si="29"/>
        <v>1</v>
      </c>
    </row>
    <row r="98" spans="1:12" x14ac:dyDescent="0.25">
      <c r="A98">
        <v>5</v>
      </c>
      <c r="B98" s="1">
        <v>45711</v>
      </c>
      <c r="C98" t="s">
        <v>15</v>
      </c>
      <c r="D98">
        <v>7</v>
      </c>
      <c r="E98">
        <v>8</v>
      </c>
      <c r="F98" t="s">
        <v>47</v>
      </c>
      <c r="G98">
        <f t="shared" si="30"/>
        <v>4</v>
      </c>
      <c r="H98">
        <f t="shared" si="31"/>
        <v>0</v>
      </c>
      <c r="I98">
        <f t="shared" si="32"/>
        <v>4</v>
      </c>
      <c r="J98">
        <f t="shared" si="27"/>
        <v>0</v>
      </c>
      <c r="K98">
        <f t="shared" si="28"/>
        <v>0</v>
      </c>
      <c r="L98">
        <f t="shared" si="29"/>
        <v>-1</v>
      </c>
    </row>
    <row r="99" spans="1:12" x14ac:dyDescent="0.25">
      <c r="A99">
        <v>5</v>
      </c>
      <c r="B99" s="1">
        <v>45711</v>
      </c>
      <c r="C99" t="s">
        <v>15</v>
      </c>
      <c r="D99">
        <v>8</v>
      </c>
      <c r="E99">
        <v>10</v>
      </c>
      <c r="F99" t="s">
        <v>49</v>
      </c>
      <c r="G99">
        <f t="shared" si="30"/>
        <v>3</v>
      </c>
      <c r="H99">
        <f t="shared" si="31"/>
        <v>0</v>
      </c>
      <c r="I99">
        <f t="shared" si="32"/>
        <v>3</v>
      </c>
      <c r="J99">
        <f t="shared" si="27"/>
        <v>0</v>
      </c>
      <c r="K99">
        <f t="shared" si="28"/>
        <v>0</v>
      </c>
      <c r="L99">
        <f t="shared" si="29"/>
        <v>-2</v>
      </c>
    </row>
    <row r="100" spans="1:12" x14ac:dyDescent="0.25">
      <c r="A100">
        <v>5</v>
      </c>
      <c r="B100" s="1">
        <v>45711</v>
      </c>
      <c r="C100" t="s">
        <v>15</v>
      </c>
      <c r="D100">
        <v>9</v>
      </c>
      <c r="E100">
        <v>11</v>
      </c>
      <c r="F100" t="s">
        <v>50</v>
      </c>
      <c r="G100">
        <f t="shared" si="30"/>
        <v>2</v>
      </c>
      <c r="H100">
        <f t="shared" si="31"/>
        <v>0</v>
      </c>
      <c r="I100">
        <f t="shared" si="32"/>
        <v>2</v>
      </c>
      <c r="J100">
        <f t="shared" si="27"/>
        <v>0</v>
      </c>
      <c r="K100">
        <f t="shared" si="28"/>
        <v>0</v>
      </c>
      <c r="L100">
        <f t="shared" si="29"/>
        <v>-2</v>
      </c>
    </row>
    <row r="101" spans="1:12" x14ac:dyDescent="0.25">
      <c r="A101">
        <v>5</v>
      </c>
      <c r="B101" s="1">
        <v>45711</v>
      </c>
      <c r="C101" t="s">
        <v>15</v>
      </c>
      <c r="D101">
        <v>10</v>
      </c>
      <c r="E101">
        <v>9</v>
      </c>
      <c r="F101" t="s">
        <v>18</v>
      </c>
      <c r="G101">
        <f t="shared" si="30"/>
        <v>1</v>
      </c>
      <c r="H101">
        <f t="shared" si="31"/>
        <v>0</v>
      </c>
      <c r="I101">
        <f t="shared" si="32"/>
        <v>1</v>
      </c>
      <c r="J101">
        <f t="shared" si="27"/>
        <v>0</v>
      </c>
      <c r="K101">
        <f t="shared" si="28"/>
        <v>0</v>
      </c>
      <c r="L101">
        <f t="shared" si="29"/>
        <v>1</v>
      </c>
    </row>
    <row r="102" spans="1:12" x14ac:dyDescent="0.25">
      <c r="A102">
        <v>6</v>
      </c>
      <c r="B102" s="1">
        <v>45725</v>
      </c>
      <c r="C102" t="s">
        <v>4</v>
      </c>
      <c r="D102">
        <v>1</v>
      </c>
      <c r="E102">
        <v>1</v>
      </c>
      <c r="F102" t="s">
        <v>20</v>
      </c>
      <c r="G102">
        <f t="shared" si="30"/>
        <v>10</v>
      </c>
      <c r="H102">
        <f t="shared" si="31"/>
        <v>9</v>
      </c>
      <c r="I102">
        <f t="shared" si="32"/>
        <v>19</v>
      </c>
      <c r="J102">
        <f t="shared" ref="J102:J121" si="33">COUNTIF(D102,"=1")</f>
        <v>1</v>
      </c>
      <c r="K102">
        <f t="shared" ref="K102:K121" si="34">COUNTIF(D102,"&lt;4")</f>
        <v>1</v>
      </c>
      <c r="L102">
        <f t="shared" ref="L102:L121" si="35">D102-E102</f>
        <v>0</v>
      </c>
    </row>
    <row r="103" spans="1:12" x14ac:dyDescent="0.25">
      <c r="A103">
        <v>6</v>
      </c>
      <c r="B103" s="1">
        <v>45725</v>
      </c>
      <c r="C103" t="s">
        <v>4</v>
      </c>
      <c r="D103">
        <v>2</v>
      </c>
      <c r="E103">
        <v>2</v>
      </c>
      <c r="F103" t="s">
        <v>14</v>
      </c>
      <c r="G103">
        <f t="shared" si="30"/>
        <v>9</v>
      </c>
      <c r="H103">
        <f t="shared" si="31"/>
        <v>7</v>
      </c>
      <c r="I103">
        <f t="shared" si="32"/>
        <v>16</v>
      </c>
      <c r="J103">
        <f t="shared" si="33"/>
        <v>0</v>
      </c>
      <c r="K103">
        <f t="shared" si="34"/>
        <v>1</v>
      </c>
      <c r="L103">
        <f t="shared" si="35"/>
        <v>0</v>
      </c>
    </row>
    <row r="104" spans="1:12" x14ac:dyDescent="0.25">
      <c r="A104">
        <v>6</v>
      </c>
      <c r="B104" s="1">
        <v>45725</v>
      </c>
      <c r="C104" t="s">
        <v>4</v>
      </c>
      <c r="D104">
        <v>3</v>
      </c>
      <c r="E104">
        <v>3</v>
      </c>
      <c r="F104" t="s">
        <v>44</v>
      </c>
      <c r="G104">
        <f t="shared" si="30"/>
        <v>8</v>
      </c>
      <c r="H104">
        <f t="shared" si="31"/>
        <v>5</v>
      </c>
      <c r="I104">
        <f t="shared" si="32"/>
        <v>13</v>
      </c>
      <c r="J104">
        <f t="shared" si="33"/>
        <v>0</v>
      </c>
      <c r="K104">
        <f t="shared" si="34"/>
        <v>1</v>
      </c>
      <c r="L104">
        <f t="shared" si="35"/>
        <v>0</v>
      </c>
    </row>
    <row r="105" spans="1:12" x14ac:dyDescent="0.25">
      <c r="A105">
        <v>6</v>
      </c>
      <c r="B105" s="1">
        <v>45725</v>
      </c>
      <c r="C105" t="s">
        <v>4</v>
      </c>
      <c r="D105">
        <v>4</v>
      </c>
      <c r="E105">
        <v>4</v>
      </c>
      <c r="F105" t="s">
        <v>37</v>
      </c>
      <c r="G105">
        <f t="shared" si="30"/>
        <v>7</v>
      </c>
      <c r="H105">
        <f t="shared" si="31"/>
        <v>3</v>
      </c>
      <c r="I105">
        <f t="shared" si="32"/>
        <v>10</v>
      </c>
      <c r="J105">
        <f t="shared" si="33"/>
        <v>0</v>
      </c>
      <c r="K105">
        <f t="shared" si="34"/>
        <v>0</v>
      </c>
      <c r="L105">
        <f t="shared" si="35"/>
        <v>0</v>
      </c>
    </row>
    <row r="106" spans="1:12" x14ac:dyDescent="0.25">
      <c r="A106">
        <v>6</v>
      </c>
      <c r="B106" s="1">
        <v>45725</v>
      </c>
      <c r="C106" t="s">
        <v>4</v>
      </c>
      <c r="D106">
        <v>5</v>
      </c>
      <c r="E106">
        <v>6</v>
      </c>
      <c r="F106" t="s">
        <v>45</v>
      </c>
      <c r="G106">
        <f t="shared" si="30"/>
        <v>6</v>
      </c>
      <c r="H106">
        <f t="shared" si="31"/>
        <v>1</v>
      </c>
      <c r="I106">
        <f t="shared" si="32"/>
        <v>7</v>
      </c>
      <c r="J106">
        <f t="shared" si="33"/>
        <v>0</v>
      </c>
      <c r="K106">
        <f t="shared" si="34"/>
        <v>0</v>
      </c>
      <c r="L106">
        <f>D106-E106</f>
        <v>-1</v>
      </c>
    </row>
    <row r="107" spans="1:12" x14ac:dyDescent="0.25">
      <c r="A107">
        <v>6</v>
      </c>
      <c r="B107" s="1">
        <v>45725</v>
      </c>
      <c r="C107" t="s">
        <v>4</v>
      </c>
      <c r="D107">
        <v>6</v>
      </c>
      <c r="E107">
        <v>7</v>
      </c>
      <c r="F107" t="s">
        <v>11</v>
      </c>
      <c r="G107">
        <f t="shared" si="30"/>
        <v>5</v>
      </c>
      <c r="H107">
        <f t="shared" si="31"/>
        <v>0</v>
      </c>
      <c r="I107">
        <f t="shared" si="32"/>
        <v>5</v>
      </c>
      <c r="J107">
        <f t="shared" si="33"/>
        <v>0</v>
      </c>
      <c r="K107">
        <f t="shared" si="34"/>
        <v>0</v>
      </c>
      <c r="L107">
        <f t="shared" si="35"/>
        <v>-1</v>
      </c>
    </row>
    <row r="108" spans="1:12" x14ac:dyDescent="0.25">
      <c r="A108">
        <v>6</v>
      </c>
      <c r="B108" s="1">
        <v>45725</v>
      </c>
      <c r="C108" t="s">
        <v>4</v>
      </c>
      <c r="D108">
        <v>7</v>
      </c>
      <c r="E108">
        <v>8</v>
      </c>
      <c r="F108" t="s">
        <v>46</v>
      </c>
      <c r="G108">
        <f t="shared" si="30"/>
        <v>4</v>
      </c>
      <c r="H108">
        <f t="shared" si="31"/>
        <v>0</v>
      </c>
      <c r="I108">
        <f t="shared" si="32"/>
        <v>4</v>
      </c>
      <c r="J108">
        <f t="shared" si="33"/>
        <v>0</v>
      </c>
      <c r="K108">
        <f t="shared" si="34"/>
        <v>0</v>
      </c>
      <c r="L108">
        <f t="shared" si="35"/>
        <v>-1</v>
      </c>
    </row>
    <row r="109" spans="1:12" x14ac:dyDescent="0.25">
      <c r="A109">
        <v>6</v>
      </c>
      <c r="B109" s="1">
        <v>45725</v>
      </c>
      <c r="C109" t="s">
        <v>4</v>
      </c>
      <c r="D109">
        <v>8</v>
      </c>
      <c r="E109">
        <v>9</v>
      </c>
      <c r="F109" t="s">
        <v>48</v>
      </c>
      <c r="G109">
        <f t="shared" si="30"/>
        <v>3</v>
      </c>
      <c r="H109">
        <f t="shared" si="31"/>
        <v>0</v>
      </c>
      <c r="I109">
        <f t="shared" si="32"/>
        <v>3</v>
      </c>
      <c r="J109">
        <f t="shared" si="33"/>
        <v>0</v>
      </c>
      <c r="K109">
        <f t="shared" si="34"/>
        <v>0</v>
      </c>
      <c r="L109">
        <f t="shared" si="35"/>
        <v>-1</v>
      </c>
    </row>
    <row r="110" spans="1:12" x14ac:dyDescent="0.25">
      <c r="A110">
        <v>6</v>
      </c>
      <c r="B110" s="1">
        <v>45725</v>
      </c>
      <c r="C110" t="s">
        <v>4</v>
      </c>
      <c r="D110">
        <v>9</v>
      </c>
      <c r="E110">
        <v>5</v>
      </c>
      <c r="F110" t="s">
        <v>40</v>
      </c>
      <c r="G110">
        <f t="shared" si="30"/>
        <v>2</v>
      </c>
      <c r="H110">
        <f t="shared" si="31"/>
        <v>0</v>
      </c>
      <c r="I110">
        <f t="shared" si="32"/>
        <v>2</v>
      </c>
      <c r="J110">
        <f t="shared" si="33"/>
        <v>0</v>
      </c>
      <c r="K110">
        <f t="shared" si="34"/>
        <v>0</v>
      </c>
      <c r="L110">
        <f>D110-E110</f>
        <v>4</v>
      </c>
    </row>
    <row r="111" spans="1:12" x14ac:dyDescent="0.25">
      <c r="A111">
        <v>6</v>
      </c>
      <c r="B111" s="1">
        <v>45725</v>
      </c>
      <c r="C111" t="s">
        <v>4</v>
      </c>
      <c r="D111">
        <v>10</v>
      </c>
      <c r="E111">
        <v>11</v>
      </c>
      <c r="F111" t="s">
        <v>51</v>
      </c>
      <c r="G111">
        <f t="shared" si="30"/>
        <v>1</v>
      </c>
      <c r="H111">
        <f t="shared" si="31"/>
        <v>0</v>
      </c>
      <c r="I111">
        <f t="shared" si="32"/>
        <v>1</v>
      </c>
      <c r="J111">
        <f t="shared" si="33"/>
        <v>0</v>
      </c>
      <c r="K111">
        <f t="shared" si="34"/>
        <v>0</v>
      </c>
      <c r="L111">
        <f t="shared" si="35"/>
        <v>-1</v>
      </c>
    </row>
    <row r="112" spans="1:12" x14ac:dyDescent="0.25">
      <c r="A112">
        <v>6</v>
      </c>
      <c r="B112" s="1">
        <v>45725</v>
      </c>
      <c r="C112" t="s">
        <v>15</v>
      </c>
      <c r="D112">
        <v>1</v>
      </c>
      <c r="E112">
        <v>1</v>
      </c>
      <c r="F112" t="s">
        <v>39</v>
      </c>
      <c r="G112">
        <f t="shared" si="30"/>
        <v>10</v>
      </c>
      <c r="H112">
        <f t="shared" si="31"/>
        <v>9</v>
      </c>
      <c r="I112">
        <f t="shared" si="32"/>
        <v>19</v>
      </c>
      <c r="J112">
        <f t="shared" si="33"/>
        <v>1</v>
      </c>
      <c r="K112">
        <f t="shared" si="34"/>
        <v>1</v>
      </c>
      <c r="L112">
        <f t="shared" si="35"/>
        <v>0</v>
      </c>
    </row>
    <row r="113" spans="1:12" x14ac:dyDescent="0.25">
      <c r="A113">
        <v>6</v>
      </c>
      <c r="B113" s="1">
        <v>45725</v>
      </c>
      <c r="C113" t="s">
        <v>15</v>
      </c>
      <c r="D113">
        <v>2</v>
      </c>
      <c r="E113">
        <v>2</v>
      </c>
      <c r="F113" t="s">
        <v>41</v>
      </c>
      <c r="G113">
        <f t="shared" si="30"/>
        <v>9</v>
      </c>
      <c r="H113">
        <f t="shared" si="31"/>
        <v>7</v>
      </c>
      <c r="I113">
        <f t="shared" si="32"/>
        <v>16</v>
      </c>
      <c r="J113">
        <f t="shared" si="33"/>
        <v>0</v>
      </c>
      <c r="K113">
        <f t="shared" si="34"/>
        <v>1</v>
      </c>
      <c r="L113">
        <f t="shared" si="35"/>
        <v>0</v>
      </c>
    </row>
    <row r="114" spans="1:12" x14ac:dyDescent="0.25">
      <c r="A114">
        <v>6</v>
      </c>
      <c r="B114" s="1">
        <v>45725</v>
      </c>
      <c r="C114" t="s">
        <v>15</v>
      </c>
      <c r="D114">
        <v>3</v>
      </c>
      <c r="E114">
        <v>4</v>
      </c>
      <c r="F114" t="s">
        <v>43</v>
      </c>
      <c r="G114">
        <f t="shared" ref="G114:G133" si="36">11-D114</f>
        <v>8</v>
      </c>
      <c r="H114">
        <f t="shared" ref="H114:H133" si="37">IF(D114&lt;6,11-2*D114,0)</f>
        <v>5</v>
      </c>
      <c r="I114">
        <f t="shared" ref="I114:I133" si="38">G114+H114</f>
        <v>13</v>
      </c>
      <c r="J114">
        <f t="shared" si="33"/>
        <v>0</v>
      </c>
      <c r="K114">
        <f t="shared" si="34"/>
        <v>1</v>
      </c>
      <c r="L114">
        <f t="shared" si="35"/>
        <v>-1</v>
      </c>
    </row>
    <row r="115" spans="1:12" x14ac:dyDescent="0.25">
      <c r="A115">
        <v>6</v>
      </c>
      <c r="B115" s="1">
        <v>45725</v>
      </c>
      <c r="C115" t="s">
        <v>15</v>
      </c>
      <c r="D115">
        <v>4</v>
      </c>
      <c r="E115">
        <v>3</v>
      </c>
      <c r="F115" t="s">
        <v>19</v>
      </c>
      <c r="G115">
        <f t="shared" si="36"/>
        <v>7</v>
      </c>
      <c r="H115">
        <f t="shared" si="37"/>
        <v>3</v>
      </c>
      <c r="I115">
        <f t="shared" si="38"/>
        <v>10</v>
      </c>
      <c r="J115">
        <f t="shared" si="33"/>
        <v>0</v>
      </c>
      <c r="K115">
        <f t="shared" si="34"/>
        <v>0</v>
      </c>
      <c r="L115">
        <f t="shared" si="35"/>
        <v>1</v>
      </c>
    </row>
    <row r="116" spans="1:12" x14ac:dyDescent="0.25">
      <c r="A116">
        <v>6</v>
      </c>
      <c r="B116" s="1">
        <v>45725</v>
      </c>
      <c r="C116" t="s">
        <v>15</v>
      </c>
      <c r="D116">
        <v>5</v>
      </c>
      <c r="E116">
        <v>5</v>
      </c>
      <c r="F116" t="s">
        <v>38</v>
      </c>
      <c r="G116">
        <f t="shared" si="36"/>
        <v>6</v>
      </c>
      <c r="H116">
        <f t="shared" si="37"/>
        <v>1</v>
      </c>
      <c r="I116">
        <f t="shared" si="38"/>
        <v>7</v>
      </c>
      <c r="J116">
        <f t="shared" si="33"/>
        <v>0</v>
      </c>
      <c r="K116">
        <f t="shared" si="34"/>
        <v>0</v>
      </c>
      <c r="L116">
        <f t="shared" si="35"/>
        <v>0</v>
      </c>
    </row>
    <row r="117" spans="1:12" x14ac:dyDescent="0.25">
      <c r="A117">
        <v>6</v>
      </c>
      <c r="B117" s="1">
        <v>45725</v>
      </c>
      <c r="C117" t="s">
        <v>15</v>
      </c>
      <c r="D117">
        <v>6</v>
      </c>
      <c r="E117">
        <v>7</v>
      </c>
      <c r="F117" t="s">
        <v>47</v>
      </c>
      <c r="G117">
        <f t="shared" si="36"/>
        <v>5</v>
      </c>
      <c r="H117">
        <f t="shared" si="37"/>
        <v>0</v>
      </c>
      <c r="I117">
        <f t="shared" si="38"/>
        <v>5</v>
      </c>
      <c r="J117">
        <f t="shared" si="33"/>
        <v>0</v>
      </c>
      <c r="K117">
        <f t="shared" si="34"/>
        <v>0</v>
      </c>
      <c r="L117">
        <f t="shared" si="35"/>
        <v>-1</v>
      </c>
    </row>
    <row r="118" spans="1:12" x14ac:dyDescent="0.25">
      <c r="A118">
        <v>6</v>
      </c>
      <c r="B118" s="1">
        <v>45725</v>
      </c>
      <c r="C118" t="s">
        <v>15</v>
      </c>
      <c r="D118">
        <v>7</v>
      </c>
      <c r="E118">
        <v>6</v>
      </c>
      <c r="F118" t="s">
        <v>31</v>
      </c>
      <c r="G118">
        <f t="shared" si="36"/>
        <v>4</v>
      </c>
      <c r="H118">
        <f t="shared" si="37"/>
        <v>0</v>
      </c>
      <c r="I118">
        <f t="shared" si="38"/>
        <v>4</v>
      </c>
      <c r="J118">
        <f t="shared" si="33"/>
        <v>0</v>
      </c>
      <c r="K118">
        <f t="shared" si="34"/>
        <v>0</v>
      </c>
      <c r="L118">
        <f t="shared" si="35"/>
        <v>1</v>
      </c>
    </row>
    <row r="119" spans="1:12" x14ac:dyDescent="0.25">
      <c r="A119">
        <v>6</v>
      </c>
      <c r="B119" s="1">
        <v>45725</v>
      </c>
      <c r="C119" t="s">
        <v>15</v>
      </c>
      <c r="D119">
        <v>8</v>
      </c>
      <c r="E119">
        <v>8</v>
      </c>
      <c r="F119" t="s">
        <v>49</v>
      </c>
      <c r="G119">
        <f t="shared" si="36"/>
        <v>3</v>
      </c>
      <c r="H119">
        <f t="shared" si="37"/>
        <v>0</v>
      </c>
      <c r="I119">
        <f t="shared" si="38"/>
        <v>3</v>
      </c>
      <c r="J119">
        <f t="shared" si="33"/>
        <v>0</v>
      </c>
      <c r="K119">
        <f t="shared" si="34"/>
        <v>0</v>
      </c>
      <c r="L119">
        <f t="shared" si="35"/>
        <v>0</v>
      </c>
    </row>
    <row r="120" spans="1:12" x14ac:dyDescent="0.25">
      <c r="A120">
        <v>6</v>
      </c>
      <c r="B120" s="1">
        <v>45725</v>
      </c>
      <c r="C120" t="s">
        <v>15</v>
      </c>
      <c r="D120">
        <v>9</v>
      </c>
      <c r="E120">
        <v>9</v>
      </c>
      <c r="F120" t="s">
        <v>50</v>
      </c>
      <c r="G120">
        <f t="shared" si="36"/>
        <v>2</v>
      </c>
      <c r="H120">
        <f t="shared" si="37"/>
        <v>0</v>
      </c>
      <c r="I120">
        <f t="shared" si="38"/>
        <v>2</v>
      </c>
      <c r="J120">
        <f t="shared" si="33"/>
        <v>0</v>
      </c>
      <c r="K120">
        <f t="shared" si="34"/>
        <v>0</v>
      </c>
      <c r="L120">
        <f t="shared" si="35"/>
        <v>0</v>
      </c>
    </row>
    <row r="121" spans="1:12" x14ac:dyDescent="0.25">
      <c r="A121">
        <v>6</v>
      </c>
      <c r="B121" s="1">
        <v>45725</v>
      </c>
      <c r="C121" t="s">
        <v>15</v>
      </c>
      <c r="D121">
        <v>10</v>
      </c>
      <c r="E121">
        <v>10</v>
      </c>
      <c r="F121" t="s">
        <v>18</v>
      </c>
      <c r="G121">
        <f t="shared" si="36"/>
        <v>1</v>
      </c>
      <c r="H121">
        <f t="shared" si="37"/>
        <v>0</v>
      </c>
      <c r="I121">
        <f t="shared" si="38"/>
        <v>1</v>
      </c>
      <c r="J121">
        <f t="shared" si="33"/>
        <v>0</v>
      </c>
      <c r="K121">
        <f t="shared" si="34"/>
        <v>0</v>
      </c>
      <c r="L121">
        <f t="shared" si="35"/>
        <v>0</v>
      </c>
    </row>
    <row r="122" spans="1:12" x14ac:dyDescent="0.25">
      <c r="A122">
        <v>7</v>
      </c>
      <c r="B122" s="1">
        <v>45739</v>
      </c>
      <c r="C122" t="s">
        <v>4</v>
      </c>
      <c r="D122">
        <v>1</v>
      </c>
      <c r="E122">
        <v>2</v>
      </c>
      <c r="F122" t="s">
        <v>14</v>
      </c>
      <c r="G122">
        <f t="shared" si="36"/>
        <v>10</v>
      </c>
      <c r="H122">
        <f t="shared" si="37"/>
        <v>9</v>
      </c>
      <c r="I122">
        <f t="shared" si="38"/>
        <v>19</v>
      </c>
      <c r="J122">
        <f t="shared" ref="J122:J141" si="39">COUNTIF(D122,"=1")</f>
        <v>1</v>
      </c>
      <c r="K122">
        <f t="shared" ref="K122:K141" si="40">COUNTIF(D122,"&lt;4")</f>
        <v>1</v>
      </c>
      <c r="L122">
        <f t="shared" ref="L122:L125" si="41">D122-E122</f>
        <v>-1</v>
      </c>
    </row>
    <row r="123" spans="1:12" x14ac:dyDescent="0.25">
      <c r="A123">
        <v>7</v>
      </c>
      <c r="B123" s="1">
        <v>45739</v>
      </c>
      <c r="C123" t="s">
        <v>4</v>
      </c>
      <c r="D123">
        <v>2</v>
      </c>
      <c r="E123">
        <v>3</v>
      </c>
      <c r="F123" t="s">
        <v>44</v>
      </c>
      <c r="G123">
        <f t="shared" si="36"/>
        <v>9</v>
      </c>
      <c r="H123">
        <f t="shared" si="37"/>
        <v>7</v>
      </c>
      <c r="I123">
        <f t="shared" si="38"/>
        <v>16</v>
      </c>
      <c r="J123">
        <f t="shared" si="39"/>
        <v>0</v>
      </c>
      <c r="K123">
        <f t="shared" si="40"/>
        <v>1</v>
      </c>
      <c r="L123">
        <f t="shared" si="41"/>
        <v>-1</v>
      </c>
    </row>
    <row r="124" spans="1:12" x14ac:dyDescent="0.25">
      <c r="A124">
        <v>7</v>
      </c>
      <c r="B124" s="1">
        <v>45739</v>
      </c>
      <c r="C124" t="s">
        <v>4</v>
      </c>
      <c r="D124">
        <v>3</v>
      </c>
      <c r="E124">
        <v>4</v>
      </c>
      <c r="F124" t="s">
        <v>37</v>
      </c>
      <c r="G124">
        <f t="shared" si="36"/>
        <v>8</v>
      </c>
      <c r="H124">
        <f t="shared" si="37"/>
        <v>5</v>
      </c>
      <c r="I124">
        <f t="shared" si="38"/>
        <v>13</v>
      </c>
      <c r="J124">
        <f t="shared" si="39"/>
        <v>0</v>
      </c>
      <c r="K124">
        <f t="shared" si="40"/>
        <v>1</v>
      </c>
      <c r="L124">
        <f t="shared" si="41"/>
        <v>-1</v>
      </c>
    </row>
    <row r="125" spans="1:12" x14ac:dyDescent="0.25">
      <c r="A125">
        <v>7</v>
      </c>
      <c r="B125" s="1">
        <v>45739</v>
      </c>
      <c r="C125" t="s">
        <v>4</v>
      </c>
      <c r="D125">
        <v>4</v>
      </c>
      <c r="E125">
        <v>1</v>
      </c>
      <c r="F125" t="s">
        <v>20</v>
      </c>
      <c r="G125">
        <f t="shared" si="36"/>
        <v>7</v>
      </c>
      <c r="H125">
        <f t="shared" si="37"/>
        <v>3</v>
      </c>
      <c r="I125">
        <f t="shared" si="38"/>
        <v>10</v>
      </c>
      <c r="J125">
        <f t="shared" si="39"/>
        <v>0</v>
      </c>
      <c r="K125">
        <f t="shared" si="40"/>
        <v>0</v>
      </c>
      <c r="L125">
        <f t="shared" si="41"/>
        <v>3</v>
      </c>
    </row>
    <row r="126" spans="1:12" x14ac:dyDescent="0.25">
      <c r="A126">
        <v>7</v>
      </c>
      <c r="B126" s="1">
        <v>45739</v>
      </c>
      <c r="C126" t="s">
        <v>4</v>
      </c>
      <c r="D126">
        <v>5</v>
      </c>
      <c r="E126">
        <v>5</v>
      </c>
      <c r="F126" t="s">
        <v>45</v>
      </c>
      <c r="G126">
        <f t="shared" si="36"/>
        <v>6</v>
      </c>
      <c r="H126">
        <f t="shared" si="37"/>
        <v>1</v>
      </c>
      <c r="I126">
        <f t="shared" si="38"/>
        <v>7</v>
      </c>
      <c r="J126">
        <f t="shared" si="39"/>
        <v>0</v>
      </c>
      <c r="K126">
        <f t="shared" si="40"/>
        <v>0</v>
      </c>
      <c r="L126">
        <f>D126-E126</f>
        <v>0</v>
      </c>
    </row>
    <row r="127" spans="1:12" x14ac:dyDescent="0.25">
      <c r="A127">
        <v>7</v>
      </c>
      <c r="B127" s="1">
        <v>45739</v>
      </c>
      <c r="C127" t="s">
        <v>4</v>
      </c>
      <c r="D127">
        <v>6</v>
      </c>
      <c r="E127">
        <v>7</v>
      </c>
      <c r="F127" t="s">
        <v>46</v>
      </c>
      <c r="G127">
        <f t="shared" si="36"/>
        <v>5</v>
      </c>
      <c r="H127">
        <f t="shared" si="37"/>
        <v>0</v>
      </c>
      <c r="I127">
        <f t="shared" si="38"/>
        <v>5</v>
      </c>
      <c r="J127">
        <f t="shared" si="39"/>
        <v>0</v>
      </c>
      <c r="K127">
        <f t="shared" si="40"/>
        <v>0</v>
      </c>
      <c r="L127">
        <f t="shared" ref="L127:L129" si="42">D127-E127</f>
        <v>-1</v>
      </c>
    </row>
    <row r="128" spans="1:12" x14ac:dyDescent="0.25">
      <c r="A128">
        <v>7</v>
      </c>
      <c r="B128" s="1">
        <v>45739</v>
      </c>
      <c r="C128" t="s">
        <v>4</v>
      </c>
      <c r="D128">
        <v>7</v>
      </c>
      <c r="E128">
        <v>8</v>
      </c>
      <c r="F128" t="s">
        <v>48</v>
      </c>
      <c r="G128">
        <f t="shared" si="36"/>
        <v>4</v>
      </c>
      <c r="H128">
        <f t="shared" si="37"/>
        <v>0</v>
      </c>
      <c r="I128">
        <f t="shared" si="38"/>
        <v>4</v>
      </c>
      <c r="J128">
        <f t="shared" si="39"/>
        <v>0</v>
      </c>
      <c r="K128">
        <f t="shared" si="40"/>
        <v>0</v>
      </c>
      <c r="L128">
        <f t="shared" si="42"/>
        <v>-1</v>
      </c>
    </row>
    <row r="129" spans="1:12" x14ac:dyDescent="0.25">
      <c r="A129">
        <v>7</v>
      </c>
      <c r="B129" s="1">
        <v>45739</v>
      </c>
      <c r="C129" t="s">
        <v>4</v>
      </c>
      <c r="D129">
        <v>8</v>
      </c>
      <c r="E129">
        <v>10</v>
      </c>
      <c r="F129" t="s">
        <v>51</v>
      </c>
      <c r="G129">
        <f t="shared" si="36"/>
        <v>3</v>
      </c>
      <c r="H129">
        <f t="shared" si="37"/>
        <v>0</v>
      </c>
      <c r="I129">
        <f t="shared" si="38"/>
        <v>3</v>
      </c>
      <c r="J129">
        <f t="shared" si="39"/>
        <v>0</v>
      </c>
      <c r="K129">
        <f t="shared" si="40"/>
        <v>0</v>
      </c>
      <c r="L129">
        <f t="shared" si="42"/>
        <v>-2</v>
      </c>
    </row>
    <row r="130" spans="1:12" x14ac:dyDescent="0.25">
      <c r="A130">
        <v>7</v>
      </c>
      <c r="B130" s="1">
        <v>45739</v>
      </c>
      <c r="C130" t="s">
        <v>4</v>
      </c>
      <c r="D130">
        <v>9</v>
      </c>
      <c r="E130">
        <v>6</v>
      </c>
      <c r="F130" t="s">
        <v>11</v>
      </c>
      <c r="G130">
        <f t="shared" si="36"/>
        <v>2</v>
      </c>
      <c r="H130">
        <f t="shared" si="37"/>
        <v>0</v>
      </c>
      <c r="I130">
        <f t="shared" si="38"/>
        <v>2</v>
      </c>
      <c r="J130">
        <f t="shared" si="39"/>
        <v>0</v>
      </c>
      <c r="K130">
        <f t="shared" si="40"/>
        <v>0</v>
      </c>
      <c r="L130">
        <f>D130-E130</f>
        <v>3</v>
      </c>
    </row>
    <row r="131" spans="1:12" x14ac:dyDescent="0.25">
      <c r="A131">
        <v>7</v>
      </c>
      <c r="B131" s="1">
        <v>45739</v>
      </c>
      <c r="C131" t="s">
        <v>4</v>
      </c>
      <c r="D131">
        <v>10</v>
      </c>
      <c r="E131">
        <v>11</v>
      </c>
      <c r="F131" t="s">
        <v>52</v>
      </c>
      <c r="G131">
        <f t="shared" si="36"/>
        <v>1</v>
      </c>
      <c r="H131">
        <f t="shared" si="37"/>
        <v>0</v>
      </c>
      <c r="I131">
        <f t="shared" si="38"/>
        <v>1</v>
      </c>
      <c r="J131">
        <f t="shared" si="39"/>
        <v>0</v>
      </c>
      <c r="K131">
        <f t="shared" si="40"/>
        <v>0</v>
      </c>
      <c r="L131">
        <f t="shared" ref="L131:L145" si="43">D131-E131</f>
        <v>-1</v>
      </c>
    </row>
    <row r="132" spans="1:12" x14ac:dyDescent="0.25">
      <c r="A132">
        <v>7</v>
      </c>
      <c r="B132" s="1">
        <v>45739</v>
      </c>
      <c r="C132" t="s">
        <v>15</v>
      </c>
      <c r="D132">
        <v>1</v>
      </c>
      <c r="E132">
        <v>1</v>
      </c>
      <c r="F132" t="s">
        <v>39</v>
      </c>
      <c r="G132">
        <f t="shared" si="36"/>
        <v>10</v>
      </c>
      <c r="H132">
        <f t="shared" si="37"/>
        <v>9</v>
      </c>
      <c r="I132">
        <f t="shared" si="38"/>
        <v>19</v>
      </c>
      <c r="J132">
        <f t="shared" si="39"/>
        <v>1</v>
      </c>
      <c r="K132">
        <f t="shared" si="40"/>
        <v>1</v>
      </c>
      <c r="L132">
        <f t="shared" si="43"/>
        <v>0</v>
      </c>
    </row>
    <row r="133" spans="1:12" x14ac:dyDescent="0.25">
      <c r="A133">
        <v>7</v>
      </c>
      <c r="B133" s="1">
        <v>45739</v>
      </c>
      <c r="C133" t="s">
        <v>15</v>
      </c>
      <c r="D133">
        <v>2</v>
      </c>
      <c r="E133">
        <v>3</v>
      </c>
      <c r="F133" t="s">
        <v>43</v>
      </c>
      <c r="G133">
        <f t="shared" si="36"/>
        <v>9</v>
      </c>
      <c r="H133">
        <f t="shared" si="37"/>
        <v>7</v>
      </c>
      <c r="I133">
        <f t="shared" si="38"/>
        <v>16</v>
      </c>
      <c r="J133">
        <f t="shared" si="39"/>
        <v>0</v>
      </c>
      <c r="K133">
        <f t="shared" si="40"/>
        <v>1</v>
      </c>
      <c r="L133">
        <f t="shared" si="43"/>
        <v>-1</v>
      </c>
    </row>
    <row r="134" spans="1:12" x14ac:dyDescent="0.25">
      <c r="A134">
        <v>7</v>
      </c>
      <c r="B134" s="1">
        <v>45739</v>
      </c>
      <c r="C134" t="s">
        <v>15</v>
      </c>
      <c r="D134">
        <v>3</v>
      </c>
      <c r="E134">
        <v>2</v>
      </c>
      <c r="F134" t="s">
        <v>41</v>
      </c>
      <c r="G134">
        <f t="shared" ref="G134:G153" si="44">11-D134</f>
        <v>8</v>
      </c>
      <c r="H134">
        <f t="shared" ref="H134:H153" si="45">IF(D134&lt;6,11-2*D134,0)</f>
        <v>5</v>
      </c>
      <c r="I134">
        <f t="shared" ref="I134:I153" si="46">G134+H134</f>
        <v>13</v>
      </c>
      <c r="J134">
        <f t="shared" si="39"/>
        <v>0</v>
      </c>
      <c r="K134">
        <f t="shared" si="40"/>
        <v>1</v>
      </c>
      <c r="L134">
        <f t="shared" si="43"/>
        <v>1</v>
      </c>
    </row>
    <row r="135" spans="1:12" x14ac:dyDescent="0.25">
      <c r="A135">
        <v>7</v>
      </c>
      <c r="B135" s="1">
        <v>45739</v>
      </c>
      <c r="C135" t="s">
        <v>15</v>
      </c>
      <c r="D135">
        <v>4</v>
      </c>
      <c r="E135">
        <v>6</v>
      </c>
      <c r="F135" t="s">
        <v>47</v>
      </c>
      <c r="G135">
        <f t="shared" si="44"/>
        <v>7</v>
      </c>
      <c r="H135">
        <f t="shared" si="45"/>
        <v>3</v>
      </c>
      <c r="I135">
        <f t="shared" si="46"/>
        <v>10</v>
      </c>
      <c r="J135">
        <f t="shared" si="39"/>
        <v>0</v>
      </c>
      <c r="K135">
        <f t="shared" si="40"/>
        <v>0</v>
      </c>
      <c r="L135">
        <f t="shared" si="43"/>
        <v>-2</v>
      </c>
    </row>
    <row r="136" spans="1:12" x14ac:dyDescent="0.25">
      <c r="A136">
        <v>7</v>
      </c>
      <c r="B136" s="1">
        <v>45739</v>
      </c>
      <c r="C136" t="s">
        <v>15</v>
      </c>
      <c r="D136">
        <v>5</v>
      </c>
      <c r="E136">
        <v>4</v>
      </c>
      <c r="F136" t="s">
        <v>19</v>
      </c>
      <c r="G136">
        <f t="shared" si="44"/>
        <v>6</v>
      </c>
      <c r="H136">
        <f t="shared" si="45"/>
        <v>1</v>
      </c>
      <c r="I136">
        <f t="shared" si="46"/>
        <v>7</v>
      </c>
      <c r="J136">
        <f t="shared" si="39"/>
        <v>0</v>
      </c>
      <c r="K136">
        <f t="shared" si="40"/>
        <v>0</v>
      </c>
      <c r="L136">
        <f t="shared" si="43"/>
        <v>1</v>
      </c>
    </row>
    <row r="137" spans="1:12" x14ac:dyDescent="0.25">
      <c r="A137">
        <v>7</v>
      </c>
      <c r="B137" s="1">
        <v>45739</v>
      </c>
      <c r="C137" t="s">
        <v>15</v>
      </c>
      <c r="D137">
        <v>6</v>
      </c>
      <c r="E137">
        <v>8</v>
      </c>
      <c r="F137" t="s">
        <v>49</v>
      </c>
      <c r="G137">
        <f t="shared" si="44"/>
        <v>5</v>
      </c>
      <c r="H137">
        <f t="shared" si="45"/>
        <v>0</v>
      </c>
      <c r="I137">
        <f t="shared" si="46"/>
        <v>5</v>
      </c>
      <c r="J137">
        <f t="shared" si="39"/>
        <v>0</v>
      </c>
      <c r="K137">
        <f t="shared" si="40"/>
        <v>0</v>
      </c>
      <c r="L137">
        <f t="shared" si="43"/>
        <v>-2</v>
      </c>
    </row>
    <row r="138" spans="1:12" x14ac:dyDescent="0.25">
      <c r="A138">
        <v>7</v>
      </c>
      <c r="B138" s="1">
        <v>45739</v>
      </c>
      <c r="C138" t="s">
        <v>15</v>
      </c>
      <c r="D138">
        <v>7</v>
      </c>
      <c r="E138">
        <v>9</v>
      </c>
      <c r="F138" t="s">
        <v>50</v>
      </c>
      <c r="G138">
        <f t="shared" si="44"/>
        <v>4</v>
      </c>
      <c r="H138">
        <f t="shared" si="45"/>
        <v>0</v>
      </c>
      <c r="I138">
        <f t="shared" si="46"/>
        <v>4</v>
      </c>
      <c r="J138">
        <f t="shared" si="39"/>
        <v>0</v>
      </c>
      <c r="K138">
        <f t="shared" si="40"/>
        <v>0</v>
      </c>
      <c r="L138">
        <f t="shared" si="43"/>
        <v>-2</v>
      </c>
    </row>
    <row r="139" spans="1:12" x14ac:dyDescent="0.25">
      <c r="A139">
        <v>7</v>
      </c>
      <c r="B139" s="1">
        <v>45739</v>
      </c>
      <c r="C139" t="s">
        <v>15</v>
      </c>
      <c r="D139">
        <v>8</v>
      </c>
      <c r="E139">
        <v>5</v>
      </c>
      <c r="F139" t="s">
        <v>38</v>
      </c>
      <c r="G139">
        <f t="shared" si="44"/>
        <v>3</v>
      </c>
      <c r="H139">
        <f t="shared" si="45"/>
        <v>0</v>
      </c>
      <c r="I139">
        <f t="shared" si="46"/>
        <v>3</v>
      </c>
      <c r="J139">
        <f t="shared" si="39"/>
        <v>0</v>
      </c>
      <c r="K139">
        <f t="shared" si="40"/>
        <v>0</v>
      </c>
      <c r="L139">
        <f t="shared" si="43"/>
        <v>3</v>
      </c>
    </row>
    <row r="140" spans="1:12" x14ac:dyDescent="0.25">
      <c r="A140">
        <v>7</v>
      </c>
      <c r="B140" s="1">
        <v>45739</v>
      </c>
      <c r="C140" t="s">
        <v>15</v>
      </c>
      <c r="D140">
        <v>9</v>
      </c>
      <c r="E140">
        <v>7</v>
      </c>
      <c r="F140" t="s">
        <v>31</v>
      </c>
      <c r="G140">
        <f t="shared" si="44"/>
        <v>2</v>
      </c>
      <c r="H140">
        <f t="shared" si="45"/>
        <v>0</v>
      </c>
      <c r="I140">
        <f t="shared" si="46"/>
        <v>2</v>
      </c>
      <c r="J140">
        <f t="shared" si="39"/>
        <v>0</v>
      </c>
      <c r="K140">
        <f t="shared" si="40"/>
        <v>0</v>
      </c>
      <c r="L140">
        <f t="shared" si="43"/>
        <v>2</v>
      </c>
    </row>
    <row r="141" spans="1:12" x14ac:dyDescent="0.25">
      <c r="A141">
        <v>7</v>
      </c>
      <c r="B141" s="1">
        <v>45739</v>
      </c>
      <c r="C141" t="s">
        <v>15</v>
      </c>
      <c r="D141">
        <v>10</v>
      </c>
      <c r="E141">
        <v>11</v>
      </c>
      <c r="F141" t="s">
        <v>53</v>
      </c>
      <c r="G141">
        <f t="shared" si="44"/>
        <v>1</v>
      </c>
      <c r="H141">
        <f t="shared" si="45"/>
        <v>0</v>
      </c>
      <c r="I141">
        <f t="shared" si="46"/>
        <v>1</v>
      </c>
      <c r="J141">
        <f t="shared" si="39"/>
        <v>0</v>
      </c>
      <c r="K141">
        <f t="shared" si="40"/>
        <v>0</v>
      </c>
      <c r="L141">
        <f t="shared" si="43"/>
        <v>-1</v>
      </c>
    </row>
    <row r="142" spans="1:12" x14ac:dyDescent="0.25">
      <c r="A142">
        <v>8</v>
      </c>
      <c r="B142" s="1">
        <v>45753</v>
      </c>
      <c r="C142" t="s">
        <v>4</v>
      </c>
      <c r="D142">
        <v>1</v>
      </c>
      <c r="E142">
        <v>1</v>
      </c>
      <c r="F142" t="s">
        <v>14</v>
      </c>
      <c r="G142">
        <f t="shared" si="44"/>
        <v>10</v>
      </c>
      <c r="H142">
        <f t="shared" si="45"/>
        <v>9</v>
      </c>
      <c r="I142">
        <f t="shared" si="46"/>
        <v>19</v>
      </c>
      <c r="J142">
        <f t="shared" ref="J142:J161" si="47">COUNTIF(D142,"=1")</f>
        <v>1</v>
      </c>
      <c r="K142">
        <f t="shared" ref="K142:K161" si="48">COUNTIF(D142,"&lt;4")</f>
        <v>1</v>
      </c>
      <c r="L142">
        <f t="shared" si="43"/>
        <v>0</v>
      </c>
    </row>
    <row r="143" spans="1:12" x14ac:dyDescent="0.25">
      <c r="A143">
        <v>8</v>
      </c>
      <c r="B143" s="1">
        <v>45753</v>
      </c>
      <c r="C143" t="s">
        <v>4</v>
      </c>
      <c r="D143">
        <v>2</v>
      </c>
      <c r="E143">
        <v>2</v>
      </c>
      <c r="F143" t="s">
        <v>44</v>
      </c>
      <c r="G143">
        <f t="shared" si="44"/>
        <v>9</v>
      </c>
      <c r="H143">
        <f t="shared" si="45"/>
        <v>7</v>
      </c>
      <c r="I143">
        <f t="shared" si="46"/>
        <v>16</v>
      </c>
      <c r="J143">
        <f t="shared" si="47"/>
        <v>0</v>
      </c>
      <c r="K143">
        <f t="shared" si="48"/>
        <v>1</v>
      </c>
      <c r="L143">
        <f t="shared" si="43"/>
        <v>0</v>
      </c>
    </row>
    <row r="144" spans="1:12" x14ac:dyDescent="0.25">
      <c r="A144">
        <v>8</v>
      </c>
      <c r="B144" s="1">
        <v>45753</v>
      </c>
      <c r="C144" t="s">
        <v>4</v>
      </c>
      <c r="D144">
        <v>3</v>
      </c>
      <c r="E144">
        <v>5</v>
      </c>
      <c r="F144" t="s">
        <v>45</v>
      </c>
      <c r="G144">
        <f t="shared" si="44"/>
        <v>8</v>
      </c>
      <c r="H144">
        <f t="shared" si="45"/>
        <v>5</v>
      </c>
      <c r="I144">
        <f t="shared" si="46"/>
        <v>13</v>
      </c>
      <c r="J144">
        <f t="shared" si="47"/>
        <v>0</v>
      </c>
      <c r="K144">
        <f t="shared" si="48"/>
        <v>1</v>
      </c>
      <c r="L144">
        <f t="shared" si="43"/>
        <v>-2</v>
      </c>
    </row>
    <row r="145" spans="1:12" x14ac:dyDescent="0.25">
      <c r="A145">
        <v>8</v>
      </c>
      <c r="B145" s="1">
        <v>45753</v>
      </c>
      <c r="C145" t="s">
        <v>4</v>
      </c>
      <c r="D145">
        <v>4</v>
      </c>
      <c r="E145">
        <v>3</v>
      </c>
      <c r="F145" t="s">
        <v>37</v>
      </c>
      <c r="G145">
        <f t="shared" si="44"/>
        <v>7</v>
      </c>
      <c r="H145">
        <f t="shared" si="45"/>
        <v>3</v>
      </c>
      <c r="I145">
        <f t="shared" si="46"/>
        <v>10</v>
      </c>
      <c r="J145">
        <f t="shared" si="47"/>
        <v>0</v>
      </c>
      <c r="K145">
        <f t="shared" si="48"/>
        <v>0</v>
      </c>
      <c r="L145">
        <f t="shared" si="43"/>
        <v>1</v>
      </c>
    </row>
    <row r="146" spans="1:12" x14ac:dyDescent="0.25">
      <c r="A146">
        <v>8</v>
      </c>
      <c r="B146" s="1">
        <v>45753</v>
      </c>
      <c r="C146" t="s">
        <v>4</v>
      </c>
      <c r="D146">
        <v>5</v>
      </c>
      <c r="E146">
        <v>4</v>
      </c>
      <c r="F146" t="s">
        <v>20</v>
      </c>
      <c r="G146">
        <f t="shared" si="44"/>
        <v>6</v>
      </c>
      <c r="H146">
        <f t="shared" si="45"/>
        <v>1</v>
      </c>
      <c r="I146">
        <f t="shared" si="46"/>
        <v>7</v>
      </c>
      <c r="J146">
        <f t="shared" si="47"/>
        <v>0</v>
      </c>
      <c r="K146">
        <f t="shared" si="48"/>
        <v>0</v>
      </c>
      <c r="L146">
        <f>D146-E146</f>
        <v>1</v>
      </c>
    </row>
    <row r="147" spans="1:12" x14ac:dyDescent="0.25">
      <c r="A147">
        <v>8</v>
      </c>
      <c r="B147" s="1">
        <v>45753</v>
      </c>
      <c r="C147" t="s">
        <v>4</v>
      </c>
      <c r="D147">
        <v>6</v>
      </c>
      <c r="E147">
        <v>6</v>
      </c>
      <c r="F147" t="s">
        <v>46</v>
      </c>
      <c r="G147">
        <f t="shared" si="44"/>
        <v>5</v>
      </c>
      <c r="H147">
        <f t="shared" si="45"/>
        <v>0</v>
      </c>
      <c r="I147">
        <f t="shared" si="46"/>
        <v>5</v>
      </c>
      <c r="J147">
        <f t="shared" si="47"/>
        <v>0</v>
      </c>
      <c r="K147">
        <f t="shared" si="48"/>
        <v>0</v>
      </c>
      <c r="L147">
        <f t="shared" ref="L147:L149" si="49">D147-E147</f>
        <v>0</v>
      </c>
    </row>
    <row r="148" spans="1:12" x14ac:dyDescent="0.25">
      <c r="A148">
        <v>8</v>
      </c>
      <c r="B148" s="1">
        <v>45753</v>
      </c>
      <c r="C148" t="s">
        <v>4</v>
      </c>
      <c r="D148">
        <v>7</v>
      </c>
      <c r="E148">
        <v>7</v>
      </c>
      <c r="F148" t="s">
        <v>48</v>
      </c>
      <c r="G148">
        <f t="shared" si="44"/>
        <v>4</v>
      </c>
      <c r="H148">
        <f t="shared" si="45"/>
        <v>0</v>
      </c>
      <c r="I148">
        <f t="shared" si="46"/>
        <v>4</v>
      </c>
      <c r="J148">
        <f t="shared" si="47"/>
        <v>0</v>
      </c>
      <c r="K148">
        <f t="shared" si="48"/>
        <v>0</v>
      </c>
      <c r="L148">
        <f t="shared" si="49"/>
        <v>0</v>
      </c>
    </row>
    <row r="149" spans="1:12" x14ac:dyDescent="0.25">
      <c r="A149">
        <v>8</v>
      </c>
      <c r="B149" s="1">
        <v>45753</v>
      </c>
      <c r="C149" t="s">
        <v>4</v>
      </c>
      <c r="D149">
        <v>8</v>
      </c>
      <c r="E149">
        <v>8</v>
      </c>
      <c r="F149" t="s">
        <v>51</v>
      </c>
      <c r="G149">
        <f t="shared" si="44"/>
        <v>3</v>
      </c>
      <c r="H149">
        <f t="shared" si="45"/>
        <v>0</v>
      </c>
      <c r="I149">
        <f t="shared" si="46"/>
        <v>3</v>
      </c>
      <c r="J149">
        <f t="shared" si="47"/>
        <v>0</v>
      </c>
      <c r="K149">
        <f t="shared" si="48"/>
        <v>0</v>
      </c>
      <c r="L149">
        <f t="shared" si="49"/>
        <v>0</v>
      </c>
    </row>
    <row r="150" spans="1:12" x14ac:dyDescent="0.25">
      <c r="A150">
        <v>8</v>
      </c>
      <c r="B150" s="1">
        <v>45753</v>
      </c>
      <c r="C150" t="s">
        <v>4</v>
      </c>
      <c r="D150">
        <v>9</v>
      </c>
      <c r="E150">
        <v>10</v>
      </c>
      <c r="F150" t="s">
        <v>52</v>
      </c>
      <c r="G150">
        <f t="shared" si="44"/>
        <v>2</v>
      </c>
      <c r="H150">
        <f t="shared" si="45"/>
        <v>0</v>
      </c>
      <c r="I150">
        <f t="shared" si="46"/>
        <v>2</v>
      </c>
      <c r="J150">
        <f t="shared" si="47"/>
        <v>0</v>
      </c>
      <c r="K150">
        <f t="shared" si="48"/>
        <v>0</v>
      </c>
      <c r="L150">
        <f>D150-E150</f>
        <v>-1</v>
      </c>
    </row>
    <row r="151" spans="1:12" x14ac:dyDescent="0.25">
      <c r="A151">
        <v>8</v>
      </c>
      <c r="B151" s="1">
        <v>45753</v>
      </c>
      <c r="C151" t="s">
        <v>4</v>
      </c>
      <c r="D151">
        <v>10</v>
      </c>
      <c r="E151">
        <v>11</v>
      </c>
      <c r="F151" t="s">
        <v>54</v>
      </c>
      <c r="G151">
        <f t="shared" si="44"/>
        <v>1</v>
      </c>
      <c r="H151">
        <f t="shared" si="45"/>
        <v>0</v>
      </c>
      <c r="I151">
        <f t="shared" si="46"/>
        <v>1</v>
      </c>
      <c r="J151">
        <f t="shared" si="47"/>
        <v>0</v>
      </c>
      <c r="K151">
        <f t="shared" si="48"/>
        <v>0</v>
      </c>
      <c r="L151">
        <f t="shared" ref="L151:L165" si="50">D151-E151</f>
        <v>-1</v>
      </c>
    </row>
    <row r="152" spans="1:12" x14ac:dyDescent="0.25">
      <c r="A152">
        <v>8</v>
      </c>
      <c r="B152" s="1">
        <v>45753</v>
      </c>
      <c r="C152" t="s">
        <v>15</v>
      </c>
      <c r="D152">
        <v>1</v>
      </c>
      <c r="E152">
        <v>2</v>
      </c>
      <c r="F152" t="s">
        <v>43</v>
      </c>
      <c r="G152">
        <f t="shared" si="44"/>
        <v>10</v>
      </c>
      <c r="H152">
        <f t="shared" si="45"/>
        <v>9</v>
      </c>
      <c r="I152">
        <f t="shared" si="46"/>
        <v>19</v>
      </c>
      <c r="J152">
        <f t="shared" si="47"/>
        <v>1</v>
      </c>
      <c r="K152">
        <f t="shared" si="48"/>
        <v>1</v>
      </c>
      <c r="L152">
        <f t="shared" si="50"/>
        <v>-1</v>
      </c>
    </row>
    <row r="153" spans="1:12" x14ac:dyDescent="0.25">
      <c r="A153">
        <v>8</v>
      </c>
      <c r="B153" s="1">
        <v>45753</v>
      </c>
      <c r="C153" t="s">
        <v>15</v>
      </c>
      <c r="D153">
        <v>2</v>
      </c>
      <c r="E153">
        <v>1</v>
      </c>
      <c r="F153" t="s">
        <v>39</v>
      </c>
      <c r="G153">
        <f t="shared" si="44"/>
        <v>9</v>
      </c>
      <c r="H153">
        <f t="shared" si="45"/>
        <v>7</v>
      </c>
      <c r="I153">
        <f t="shared" si="46"/>
        <v>16</v>
      </c>
      <c r="J153">
        <f t="shared" si="47"/>
        <v>0</v>
      </c>
      <c r="K153">
        <f t="shared" si="48"/>
        <v>1</v>
      </c>
      <c r="L153">
        <f t="shared" si="50"/>
        <v>1</v>
      </c>
    </row>
    <row r="154" spans="1:12" x14ac:dyDescent="0.25">
      <c r="A154">
        <v>8</v>
      </c>
      <c r="B154" s="1">
        <v>45753</v>
      </c>
      <c r="C154" t="s">
        <v>15</v>
      </c>
      <c r="D154">
        <v>3</v>
      </c>
      <c r="E154">
        <v>4</v>
      </c>
      <c r="F154" t="s">
        <v>47</v>
      </c>
      <c r="G154">
        <f t="shared" ref="G154:G173" si="51">11-D154</f>
        <v>8</v>
      </c>
      <c r="H154">
        <f t="shared" ref="H154:H173" si="52">IF(D154&lt;6,11-2*D154,0)</f>
        <v>5</v>
      </c>
      <c r="I154">
        <f t="shared" ref="I154:I173" si="53">G154+H154</f>
        <v>13</v>
      </c>
      <c r="J154">
        <f t="shared" si="47"/>
        <v>0</v>
      </c>
      <c r="K154">
        <f t="shared" si="48"/>
        <v>1</v>
      </c>
      <c r="L154">
        <f t="shared" si="50"/>
        <v>-1</v>
      </c>
    </row>
    <row r="155" spans="1:12" x14ac:dyDescent="0.25">
      <c r="A155">
        <v>8</v>
      </c>
      <c r="B155" s="1">
        <v>45753</v>
      </c>
      <c r="C155" t="s">
        <v>15</v>
      </c>
      <c r="D155">
        <v>4</v>
      </c>
      <c r="E155">
        <v>3</v>
      </c>
      <c r="F155" t="s">
        <v>41</v>
      </c>
      <c r="G155">
        <f t="shared" si="51"/>
        <v>7</v>
      </c>
      <c r="H155">
        <f t="shared" si="52"/>
        <v>3</v>
      </c>
      <c r="I155">
        <f t="shared" si="53"/>
        <v>10</v>
      </c>
      <c r="J155">
        <f t="shared" si="47"/>
        <v>0</v>
      </c>
      <c r="K155">
        <f t="shared" si="48"/>
        <v>0</v>
      </c>
      <c r="L155">
        <f t="shared" si="50"/>
        <v>1</v>
      </c>
    </row>
    <row r="156" spans="1:12" x14ac:dyDescent="0.25">
      <c r="A156">
        <v>8</v>
      </c>
      <c r="B156" s="1">
        <v>45753</v>
      </c>
      <c r="C156" t="s">
        <v>15</v>
      </c>
      <c r="D156">
        <v>5</v>
      </c>
      <c r="E156">
        <v>6</v>
      </c>
      <c r="F156" t="s">
        <v>49</v>
      </c>
      <c r="G156">
        <f t="shared" si="51"/>
        <v>6</v>
      </c>
      <c r="H156">
        <f t="shared" si="52"/>
        <v>1</v>
      </c>
      <c r="I156">
        <f t="shared" si="53"/>
        <v>7</v>
      </c>
      <c r="J156">
        <f t="shared" si="47"/>
        <v>0</v>
      </c>
      <c r="K156">
        <f t="shared" si="48"/>
        <v>0</v>
      </c>
      <c r="L156">
        <f t="shared" si="50"/>
        <v>-1</v>
      </c>
    </row>
    <row r="157" spans="1:12" x14ac:dyDescent="0.25">
      <c r="A157">
        <v>8</v>
      </c>
      <c r="B157" s="1">
        <v>45753</v>
      </c>
      <c r="C157" t="s">
        <v>15</v>
      </c>
      <c r="D157">
        <v>6</v>
      </c>
      <c r="E157">
        <v>11</v>
      </c>
      <c r="F157" t="s">
        <v>55</v>
      </c>
      <c r="G157">
        <f t="shared" si="51"/>
        <v>5</v>
      </c>
      <c r="H157">
        <f t="shared" si="52"/>
        <v>0</v>
      </c>
      <c r="I157">
        <f t="shared" si="53"/>
        <v>5</v>
      </c>
      <c r="J157">
        <f t="shared" si="47"/>
        <v>0</v>
      </c>
      <c r="K157">
        <f t="shared" si="48"/>
        <v>0</v>
      </c>
      <c r="L157">
        <f t="shared" si="50"/>
        <v>-5</v>
      </c>
    </row>
    <row r="158" spans="1:12" x14ac:dyDescent="0.25">
      <c r="A158">
        <v>8</v>
      </c>
      <c r="B158" s="1">
        <v>45753</v>
      </c>
      <c r="C158" t="s">
        <v>15</v>
      </c>
      <c r="D158">
        <v>7</v>
      </c>
      <c r="E158">
        <v>7</v>
      </c>
      <c r="F158" t="s">
        <v>50</v>
      </c>
      <c r="G158">
        <f t="shared" si="51"/>
        <v>4</v>
      </c>
      <c r="H158">
        <f t="shared" si="52"/>
        <v>0</v>
      </c>
      <c r="I158">
        <f t="shared" si="53"/>
        <v>4</v>
      </c>
      <c r="J158">
        <f t="shared" si="47"/>
        <v>0</v>
      </c>
      <c r="K158">
        <f t="shared" si="48"/>
        <v>0</v>
      </c>
      <c r="L158">
        <f t="shared" si="50"/>
        <v>0</v>
      </c>
    </row>
    <row r="159" spans="1:12" x14ac:dyDescent="0.25">
      <c r="A159">
        <v>8</v>
      </c>
      <c r="B159" s="1">
        <v>45753</v>
      </c>
      <c r="C159" t="s">
        <v>15</v>
      </c>
      <c r="D159">
        <v>8</v>
      </c>
      <c r="E159">
        <v>10</v>
      </c>
      <c r="F159" t="s">
        <v>53</v>
      </c>
      <c r="G159">
        <f t="shared" si="51"/>
        <v>3</v>
      </c>
      <c r="H159">
        <f t="shared" si="52"/>
        <v>0</v>
      </c>
      <c r="I159">
        <f t="shared" si="53"/>
        <v>3</v>
      </c>
      <c r="J159">
        <f t="shared" si="47"/>
        <v>0</v>
      </c>
      <c r="K159">
        <f t="shared" si="48"/>
        <v>0</v>
      </c>
      <c r="L159">
        <f t="shared" si="50"/>
        <v>-2</v>
      </c>
    </row>
    <row r="160" spans="1:12" x14ac:dyDescent="0.25">
      <c r="A160">
        <v>8</v>
      </c>
      <c r="B160" s="1">
        <v>45753</v>
      </c>
      <c r="C160" t="s">
        <v>15</v>
      </c>
      <c r="D160">
        <v>9</v>
      </c>
      <c r="E160">
        <v>5</v>
      </c>
      <c r="F160" t="s">
        <v>19</v>
      </c>
      <c r="G160">
        <f t="shared" si="51"/>
        <v>2</v>
      </c>
      <c r="H160">
        <f t="shared" si="52"/>
        <v>0</v>
      </c>
      <c r="I160">
        <f t="shared" si="53"/>
        <v>2</v>
      </c>
      <c r="J160">
        <f t="shared" si="47"/>
        <v>0</v>
      </c>
      <c r="K160">
        <f t="shared" si="48"/>
        <v>0</v>
      </c>
      <c r="L160">
        <f t="shared" si="50"/>
        <v>4</v>
      </c>
    </row>
    <row r="161" spans="1:12" x14ac:dyDescent="0.25">
      <c r="A161">
        <v>8</v>
      </c>
      <c r="B161" s="1">
        <v>45753</v>
      </c>
      <c r="C161" t="s">
        <v>15</v>
      </c>
      <c r="D161">
        <v>10</v>
      </c>
      <c r="E161">
        <v>11</v>
      </c>
      <c r="F161" t="s">
        <v>56</v>
      </c>
      <c r="G161">
        <f t="shared" si="51"/>
        <v>1</v>
      </c>
      <c r="H161">
        <f t="shared" si="52"/>
        <v>0</v>
      </c>
      <c r="I161">
        <f t="shared" si="53"/>
        <v>1</v>
      </c>
      <c r="J161">
        <f t="shared" si="47"/>
        <v>0</v>
      </c>
      <c r="K161">
        <f t="shared" si="48"/>
        <v>0</v>
      </c>
      <c r="L161">
        <f t="shared" si="50"/>
        <v>-1</v>
      </c>
    </row>
    <row r="162" spans="1:12" x14ac:dyDescent="0.25">
      <c r="A162">
        <v>9</v>
      </c>
      <c r="B162" s="1">
        <v>45767</v>
      </c>
      <c r="C162" t="s">
        <v>4</v>
      </c>
      <c r="D162">
        <v>1</v>
      </c>
      <c r="E162">
        <v>2</v>
      </c>
      <c r="F162" t="s">
        <v>44</v>
      </c>
      <c r="G162">
        <f t="shared" si="51"/>
        <v>10</v>
      </c>
      <c r="H162">
        <f t="shared" si="52"/>
        <v>9</v>
      </c>
      <c r="I162">
        <f t="shared" si="53"/>
        <v>19</v>
      </c>
      <c r="J162">
        <f t="shared" ref="J162:J181" si="54">COUNTIF(D162,"=1")</f>
        <v>1</v>
      </c>
      <c r="K162">
        <f t="shared" ref="K162:K181" si="55">COUNTIF(D162,"&lt;4")</f>
        <v>1</v>
      </c>
      <c r="L162">
        <f t="shared" si="50"/>
        <v>-1</v>
      </c>
    </row>
    <row r="163" spans="1:12" x14ac:dyDescent="0.25">
      <c r="A163">
        <v>9</v>
      </c>
      <c r="B163" s="1">
        <v>45767</v>
      </c>
      <c r="C163" t="s">
        <v>4</v>
      </c>
      <c r="D163">
        <v>2</v>
      </c>
      <c r="E163">
        <v>1</v>
      </c>
      <c r="F163" t="s">
        <v>14</v>
      </c>
      <c r="G163">
        <f t="shared" si="51"/>
        <v>9</v>
      </c>
      <c r="H163">
        <f t="shared" si="52"/>
        <v>7</v>
      </c>
      <c r="I163">
        <f t="shared" si="53"/>
        <v>16</v>
      </c>
      <c r="J163">
        <f t="shared" si="54"/>
        <v>0</v>
      </c>
      <c r="K163">
        <f t="shared" si="55"/>
        <v>1</v>
      </c>
      <c r="L163">
        <f t="shared" si="50"/>
        <v>1</v>
      </c>
    </row>
    <row r="164" spans="1:12" x14ac:dyDescent="0.25">
      <c r="A164">
        <v>9</v>
      </c>
      <c r="B164" s="1">
        <v>45767</v>
      </c>
      <c r="C164" t="s">
        <v>4</v>
      </c>
      <c r="D164">
        <v>3</v>
      </c>
      <c r="E164">
        <v>3</v>
      </c>
      <c r="F164" t="s">
        <v>45</v>
      </c>
      <c r="G164">
        <f t="shared" si="51"/>
        <v>8</v>
      </c>
      <c r="H164">
        <f t="shared" si="52"/>
        <v>5</v>
      </c>
      <c r="I164">
        <f t="shared" si="53"/>
        <v>13</v>
      </c>
      <c r="J164">
        <f t="shared" si="54"/>
        <v>0</v>
      </c>
      <c r="K164">
        <f t="shared" si="55"/>
        <v>1</v>
      </c>
      <c r="L164">
        <f t="shared" si="50"/>
        <v>0</v>
      </c>
    </row>
    <row r="165" spans="1:12" x14ac:dyDescent="0.25">
      <c r="A165">
        <v>9</v>
      </c>
      <c r="B165" s="1">
        <v>45767</v>
      </c>
      <c r="C165" t="s">
        <v>4</v>
      </c>
      <c r="D165">
        <v>4</v>
      </c>
      <c r="E165">
        <v>6</v>
      </c>
      <c r="F165" t="s">
        <v>46</v>
      </c>
      <c r="G165">
        <f t="shared" si="51"/>
        <v>7</v>
      </c>
      <c r="H165">
        <f t="shared" si="52"/>
        <v>3</v>
      </c>
      <c r="I165">
        <f t="shared" si="53"/>
        <v>10</v>
      </c>
      <c r="J165">
        <f t="shared" si="54"/>
        <v>0</v>
      </c>
      <c r="K165">
        <f t="shared" si="55"/>
        <v>0</v>
      </c>
      <c r="L165">
        <f t="shared" si="50"/>
        <v>-2</v>
      </c>
    </row>
    <row r="166" spans="1:12" x14ac:dyDescent="0.25">
      <c r="A166">
        <v>9</v>
      </c>
      <c r="B166" s="1">
        <v>45767</v>
      </c>
      <c r="C166" t="s">
        <v>4</v>
      </c>
      <c r="D166">
        <v>5</v>
      </c>
      <c r="E166">
        <v>4</v>
      </c>
      <c r="F166" t="s">
        <v>37</v>
      </c>
      <c r="G166">
        <f t="shared" si="51"/>
        <v>6</v>
      </c>
      <c r="H166">
        <f t="shared" si="52"/>
        <v>1</v>
      </c>
      <c r="I166">
        <f t="shared" si="53"/>
        <v>7</v>
      </c>
      <c r="J166">
        <f t="shared" si="54"/>
        <v>0</v>
      </c>
      <c r="K166">
        <f t="shared" si="55"/>
        <v>0</v>
      </c>
      <c r="L166">
        <f>D166-E166</f>
        <v>1</v>
      </c>
    </row>
    <row r="167" spans="1:12" x14ac:dyDescent="0.25">
      <c r="A167">
        <v>9</v>
      </c>
      <c r="B167" s="1">
        <v>45767</v>
      </c>
      <c r="C167" t="s">
        <v>4</v>
      </c>
      <c r="D167">
        <v>6</v>
      </c>
      <c r="E167">
        <v>7</v>
      </c>
      <c r="F167" t="s">
        <v>48</v>
      </c>
      <c r="G167">
        <f t="shared" si="51"/>
        <v>5</v>
      </c>
      <c r="H167">
        <f t="shared" si="52"/>
        <v>0</v>
      </c>
      <c r="I167">
        <f t="shared" si="53"/>
        <v>5</v>
      </c>
      <c r="J167">
        <f t="shared" si="54"/>
        <v>0</v>
      </c>
      <c r="K167">
        <f t="shared" si="55"/>
        <v>0</v>
      </c>
      <c r="L167">
        <f t="shared" ref="L167:L169" si="56">D167-E167</f>
        <v>-1</v>
      </c>
    </row>
    <row r="168" spans="1:12" x14ac:dyDescent="0.25">
      <c r="A168">
        <v>9</v>
      </c>
      <c r="B168" s="1">
        <v>45767</v>
      </c>
      <c r="C168" t="s">
        <v>4</v>
      </c>
      <c r="D168">
        <v>7</v>
      </c>
      <c r="E168">
        <v>9</v>
      </c>
      <c r="F168" t="s">
        <v>52</v>
      </c>
      <c r="G168">
        <f t="shared" si="51"/>
        <v>4</v>
      </c>
      <c r="H168">
        <f t="shared" si="52"/>
        <v>0</v>
      </c>
      <c r="I168">
        <f t="shared" si="53"/>
        <v>4</v>
      </c>
      <c r="J168">
        <f t="shared" si="54"/>
        <v>0</v>
      </c>
      <c r="K168">
        <f t="shared" si="55"/>
        <v>0</v>
      </c>
      <c r="L168">
        <f t="shared" si="56"/>
        <v>-2</v>
      </c>
    </row>
    <row r="169" spans="1:12" x14ac:dyDescent="0.25">
      <c r="A169">
        <v>9</v>
      </c>
      <c r="B169" s="1">
        <v>45767</v>
      </c>
      <c r="C169" t="s">
        <v>4</v>
      </c>
      <c r="D169">
        <v>8</v>
      </c>
      <c r="E169">
        <v>5</v>
      </c>
      <c r="F169" t="s">
        <v>20</v>
      </c>
      <c r="G169">
        <f t="shared" si="51"/>
        <v>3</v>
      </c>
      <c r="H169">
        <f t="shared" si="52"/>
        <v>0</v>
      </c>
      <c r="I169">
        <f t="shared" si="53"/>
        <v>3</v>
      </c>
      <c r="J169">
        <f t="shared" si="54"/>
        <v>0</v>
      </c>
      <c r="K169">
        <f t="shared" si="55"/>
        <v>0</v>
      </c>
      <c r="L169">
        <f t="shared" si="56"/>
        <v>3</v>
      </c>
    </row>
    <row r="170" spans="1:12" x14ac:dyDescent="0.25">
      <c r="A170">
        <v>9</v>
      </c>
      <c r="B170" s="1">
        <v>45767</v>
      </c>
      <c r="C170" t="s">
        <v>4</v>
      </c>
      <c r="D170">
        <v>9</v>
      </c>
      <c r="E170">
        <v>8</v>
      </c>
      <c r="F170" t="s">
        <v>51</v>
      </c>
      <c r="G170">
        <f t="shared" si="51"/>
        <v>2</v>
      </c>
      <c r="H170">
        <f t="shared" si="52"/>
        <v>0</v>
      </c>
      <c r="I170">
        <f t="shared" si="53"/>
        <v>2</v>
      </c>
      <c r="J170">
        <f t="shared" si="54"/>
        <v>0</v>
      </c>
      <c r="K170">
        <f t="shared" si="55"/>
        <v>0</v>
      </c>
      <c r="L170">
        <f>D170-E170</f>
        <v>1</v>
      </c>
    </row>
    <row r="171" spans="1:12" x14ac:dyDescent="0.25">
      <c r="A171">
        <v>9</v>
      </c>
      <c r="B171" s="1">
        <v>45767</v>
      </c>
      <c r="C171" t="s">
        <v>4</v>
      </c>
      <c r="D171">
        <v>10</v>
      </c>
      <c r="E171">
        <v>10</v>
      </c>
      <c r="F171" t="s">
        <v>54</v>
      </c>
      <c r="G171">
        <f t="shared" si="51"/>
        <v>1</v>
      </c>
      <c r="H171">
        <f t="shared" si="52"/>
        <v>0</v>
      </c>
      <c r="I171">
        <f t="shared" si="53"/>
        <v>1</v>
      </c>
      <c r="J171">
        <f t="shared" si="54"/>
        <v>0</v>
      </c>
      <c r="K171">
        <f t="shared" si="55"/>
        <v>0</v>
      </c>
      <c r="L171">
        <f t="shared" ref="L171:L185" si="57">D171-E171</f>
        <v>0</v>
      </c>
    </row>
    <row r="172" spans="1:12" x14ac:dyDescent="0.25">
      <c r="A172">
        <v>9</v>
      </c>
      <c r="B172" s="1">
        <v>45767</v>
      </c>
      <c r="C172" t="s">
        <v>15</v>
      </c>
      <c r="D172">
        <v>1</v>
      </c>
      <c r="E172">
        <v>1</v>
      </c>
      <c r="F172" t="s">
        <v>43</v>
      </c>
      <c r="G172">
        <f t="shared" si="51"/>
        <v>10</v>
      </c>
      <c r="H172">
        <f t="shared" si="52"/>
        <v>9</v>
      </c>
      <c r="I172">
        <f t="shared" si="53"/>
        <v>19</v>
      </c>
      <c r="J172">
        <f t="shared" si="54"/>
        <v>1</v>
      </c>
      <c r="K172">
        <f t="shared" si="55"/>
        <v>1</v>
      </c>
      <c r="L172">
        <f t="shared" si="57"/>
        <v>0</v>
      </c>
    </row>
    <row r="173" spans="1:12" x14ac:dyDescent="0.25">
      <c r="A173">
        <v>9</v>
      </c>
      <c r="B173" s="1">
        <v>45767</v>
      </c>
      <c r="C173" t="s">
        <v>15</v>
      </c>
      <c r="D173">
        <v>2</v>
      </c>
      <c r="E173">
        <v>3</v>
      </c>
      <c r="F173" t="s">
        <v>47</v>
      </c>
      <c r="G173">
        <f t="shared" si="51"/>
        <v>9</v>
      </c>
      <c r="H173">
        <f t="shared" si="52"/>
        <v>7</v>
      </c>
      <c r="I173">
        <f t="shared" si="53"/>
        <v>16</v>
      </c>
      <c r="J173">
        <f t="shared" si="54"/>
        <v>0</v>
      </c>
      <c r="K173">
        <f t="shared" si="55"/>
        <v>1</v>
      </c>
      <c r="L173">
        <f t="shared" si="57"/>
        <v>-1</v>
      </c>
    </row>
    <row r="174" spans="1:12" x14ac:dyDescent="0.25">
      <c r="A174">
        <v>9</v>
      </c>
      <c r="B174" s="1">
        <v>45767</v>
      </c>
      <c r="C174" t="s">
        <v>15</v>
      </c>
      <c r="D174">
        <v>3</v>
      </c>
      <c r="E174">
        <v>2</v>
      </c>
      <c r="F174" t="s">
        <v>39</v>
      </c>
      <c r="G174">
        <f t="shared" ref="G174:G193" si="58">11-D174</f>
        <v>8</v>
      </c>
      <c r="H174">
        <f t="shared" ref="H174:H193" si="59">IF(D174&lt;6,11-2*D174,0)</f>
        <v>5</v>
      </c>
      <c r="I174">
        <f t="shared" ref="I174:I193" si="60">G174+H174</f>
        <v>13</v>
      </c>
      <c r="J174">
        <f t="shared" si="54"/>
        <v>0</v>
      </c>
      <c r="K174">
        <f t="shared" si="55"/>
        <v>1</v>
      </c>
      <c r="L174">
        <f t="shared" si="57"/>
        <v>1</v>
      </c>
    </row>
    <row r="175" spans="1:12" x14ac:dyDescent="0.25">
      <c r="A175">
        <v>9</v>
      </c>
      <c r="B175" s="1">
        <v>45767</v>
      </c>
      <c r="C175" t="s">
        <v>15</v>
      </c>
      <c r="D175">
        <v>4</v>
      </c>
      <c r="E175">
        <v>5</v>
      </c>
      <c r="F175" t="s">
        <v>49</v>
      </c>
      <c r="G175">
        <f t="shared" si="58"/>
        <v>7</v>
      </c>
      <c r="H175">
        <f t="shared" si="59"/>
        <v>3</v>
      </c>
      <c r="I175">
        <f t="shared" si="60"/>
        <v>10</v>
      </c>
      <c r="J175">
        <f t="shared" si="54"/>
        <v>0</v>
      </c>
      <c r="K175">
        <f t="shared" si="55"/>
        <v>0</v>
      </c>
      <c r="L175">
        <f t="shared" si="57"/>
        <v>-1</v>
      </c>
    </row>
    <row r="176" spans="1:12" x14ac:dyDescent="0.25">
      <c r="A176">
        <v>9</v>
      </c>
      <c r="B176" s="1">
        <v>45767</v>
      </c>
      <c r="C176" t="s">
        <v>15</v>
      </c>
      <c r="D176">
        <v>5</v>
      </c>
      <c r="E176">
        <v>6</v>
      </c>
      <c r="F176" t="s">
        <v>55</v>
      </c>
      <c r="G176">
        <f t="shared" si="58"/>
        <v>6</v>
      </c>
      <c r="H176">
        <f t="shared" si="59"/>
        <v>1</v>
      </c>
      <c r="I176">
        <f t="shared" si="60"/>
        <v>7</v>
      </c>
      <c r="J176">
        <f t="shared" si="54"/>
        <v>0</v>
      </c>
      <c r="K176">
        <f t="shared" si="55"/>
        <v>0</v>
      </c>
      <c r="L176">
        <f t="shared" si="57"/>
        <v>-1</v>
      </c>
    </row>
    <row r="177" spans="1:12" x14ac:dyDescent="0.25">
      <c r="A177">
        <v>9</v>
      </c>
      <c r="B177" s="1">
        <v>45767</v>
      </c>
      <c r="C177" t="s">
        <v>15</v>
      </c>
      <c r="D177">
        <v>6</v>
      </c>
      <c r="E177">
        <v>7</v>
      </c>
      <c r="F177" t="s">
        <v>50</v>
      </c>
      <c r="G177">
        <f t="shared" si="58"/>
        <v>5</v>
      </c>
      <c r="H177">
        <f t="shared" si="59"/>
        <v>0</v>
      </c>
      <c r="I177">
        <f t="shared" si="60"/>
        <v>5</v>
      </c>
      <c r="J177">
        <f t="shared" si="54"/>
        <v>0</v>
      </c>
      <c r="K177">
        <f t="shared" si="55"/>
        <v>0</v>
      </c>
      <c r="L177">
        <f t="shared" si="57"/>
        <v>-1</v>
      </c>
    </row>
    <row r="178" spans="1:12" x14ac:dyDescent="0.25">
      <c r="A178">
        <v>9</v>
      </c>
      <c r="B178" s="1">
        <v>45767</v>
      </c>
      <c r="C178" t="s">
        <v>15</v>
      </c>
      <c r="D178">
        <v>7</v>
      </c>
      <c r="E178">
        <v>4</v>
      </c>
      <c r="F178" t="s">
        <v>41</v>
      </c>
      <c r="G178">
        <f t="shared" si="58"/>
        <v>4</v>
      </c>
      <c r="H178">
        <f t="shared" si="59"/>
        <v>0</v>
      </c>
      <c r="I178">
        <f t="shared" si="60"/>
        <v>4</v>
      </c>
      <c r="J178">
        <f t="shared" si="54"/>
        <v>0</v>
      </c>
      <c r="K178">
        <f t="shared" si="55"/>
        <v>0</v>
      </c>
      <c r="L178">
        <f t="shared" si="57"/>
        <v>3</v>
      </c>
    </row>
    <row r="179" spans="1:12" x14ac:dyDescent="0.25">
      <c r="A179">
        <v>9</v>
      </c>
      <c r="B179" s="1">
        <v>45767</v>
      </c>
      <c r="C179" t="s">
        <v>15</v>
      </c>
      <c r="D179">
        <v>8</v>
      </c>
      <c r="E179">
        <v>8</v>
      </c>
      <c r="F179" t="s">
        <v>53</v>
      </c>
      <c r="G179">
        <f t="shared" si="58"/>
        <v>3</v>
      </c>
      <c r="H179">
        <f t="shared" si="59"/>
        <v>0</v>
      </c>
      <c r="I179">
        <f t="shared" si="60"/>
        <v>3</v>
      </c>
      <c r="J179">
        <f t="shared" si="54"/>
        <v>0</v>
      </c>
      <c r="K179">
        <f t="shared" si="55"/>
        <v>0</v>
      </c>
      <c r="L179">
        <f t="shared" si="57"/>
        <v>0</v>
      </c>
    </row>
    <row r="180" spans="1:12" x14ac:dyDescent="0.25">
      <c r="A180">
        <v>9</v>
      </c>
      <c r="B180" s="1">
        <v>45767</v>
      </c>
      <c r="C180" t="s">
        <v>15</v>
      </c>
      <c r="D180">
        <v>9</v>
      </c>
      <c r="E180">
        <v>10</v>
      </c>
      <c r="F180" t="s">
        <v>56</v>
      </c>
      <c r="G180">
        <f t="shared" si="58"/>
        <v>2</v>
      </c>
      <c r="H180">
        <f t="shared" si="59"/>
        <v>0</v>
      </c>
      <c r="I180">
        <f t="shared" si="60"/>
        <v>2</v>
      </c>
      <c r="J180">
        <f t="shared" si="54"/>
        <v>0</v>
      </c>
      <c r="K180">
        <f t="shared" si="55"/>
        <v>0</v>
      </c>
      <c r="L180">
        <f t="shared" si="57"/>
        <v>-1</v>
      </c>
    </row>
    <row r="181" spans="1:12" x14ac:dyDescent="0.25">
      <c r="A181">
        <v>9</v>
      </c>
      <c r="B181" s="1">
        <v>45767</v>
      </c>
      <c r="C181" t="s">
        <v>15</v>
      </c>
      <c r="D181">
        <v>10</v>
      </c>
      <c r="E181">
        <v>11</v>
      </c>
      <c r="F181" t="s">
        <v>57</v>
      </c>
      <c r="G181">
        <f t="shared" si="58"/>
        <v>1</v>
      </c>
      <c r="H181">
        <f t="shared" si="59"/>
        <v>0</v>
      </c>
      <c r="I181">
        <f t="shared" si="60"/>
        <v>1</v>
      </c>
      <c r="J181">
        <f t="shared" si="54"/>
        <v>0</v>
      </c>
      <c r="K181">
        <f t="shared" si="55"/>
        <v>0</v>
      </c>
      <c r="L181">
        <f t="shared" si="57"/>
        <v>-1</v>
      </c>
    </row>
    <row r="182" spans="1:12" x14ac:dyDescent="0.25">
      <c r="A182">
        <v>10</v>
      </c>
      <c r="B182" s="1">
        <v>45781</v>
      </c>
      <c r="C182" t="s">
        <v>4</v>
      </c>
      <c r="D182">
        <v>1</v>
      </c>
      <c r="E182">
        <v>1</v>
      </c>
      <c r="F182" t="s">
        <v>44</v>
      </c>
      <c r="G182">
        <f t="shared" si="58"/>
        <v>10</v>
      </c>
      <c r="H182">
        <f t="shared" si="59"/>
        <v>9</v>
      </c>
      <c r="I182">
        <f t="shared" si="60"/>
        <v>19</v>
      </c>
      <c r="J182">
        <f t="shared" ref="J182:J201" si="61">COUNTIF(D182,"=1")</f>
        <v>1</v>
      </c>
      <c r="K182">
        <f t="shared" ref="K182:K201" si="62">COUNTIF(D182,"&lt;4")</f>
        <v>1</v>
      </c>
      <c r="L182">
        <f t="shared" si="57"/>
        <v>0</v>
      </c>
    </row>
    <row r="183" spans="1:12" x14ac:dyDescent="0.25">
      <c r="A183">
        <v>10</v>
      </c>
      <c r="B183" s="1">
        <v>45781</v>
      </c>
      <c r="C183" t="s">
        <v>4</v>
      </c>
      <c r="D183">
        <v>2</v>
      </c>
      <c r="E183">
        <v>3</v>
      </c>
      <c r="F183" t="s">
        <v>45</v>
      </c>
      <c r="G183">
        <f t="shared" si="58"/>
        <v>9</v>
      </c>
      <c r="H183">
        <f t="shared" si="59"/>
        <v>7</v>
      </c>
      <c r="I183">
        <f t="shared" si="60"/>
        <v>16</v>
      </c>
      <c r="J183">
        <f t="shared" si="61"/>
        <v>0</v>
      </c>
      <c r="K183">
        <f t="shared" si="62"/>
        <v>1</v>
      </c>
      <c r="L183">
        <f t="shared" si="57"/>
        <v>-1</v>
      </c>
    </row>
    <row r="184" spans="1:12" x14ac:dyDescent="0.25">
      <c r="A184">
        <v>10</v>
      </c>
      <c r="B184" s="1">
        <v>45781</v>
      </c>
      <c r="C184" t="s">
        <v>4</v>
      </c>
      <c r="D184">
        <v>3</v>
      </c>
      <c r="E184">
        <v>2</v>
      </c>
      <c r="F184" t="s">
        <v>14</v>
      </c>
      <c r="G184">
        <f t="shared" si="58"/>
        <v>8</v>
      </c>
      <c r="H184">
        <f t="shared" si="59"/>
        <v>5</v>
      </c>
      <c r="I184">
        <f t="shared" si="60"/>
        <v>13</v>
      </c>
      <c r="J184">
        <f t="shared" si="61"/>
        <v>0</v>
      </c>
      <c r="K184">
        <f t="shared" si="62"/>
        <v>1</v>
      </c>
      <c r="L184">
        <f t="shared" si="57"/>
        <v>1</v>
      </c>
    </row>
    <row r="185" spans="1:12" x14ac:dyDescent="0.25">
      <c r="A185">
        <v>10</v>
      </c>
      <c r="B185" s="1">
        <v>45781</v>
      </c>
      <c r="C185" t="s">
        <v>4</v>
      </c>
      <c r="D185">
        <v>4</v>
      </c>
      <c r="E185">
        <v>4</v>
      </c>
      <c r="F185" t="s">
        <v>46</v>
      </c>
      <c r="G185">
        <f t="shared" si="58"/>
        <v>7</v>
      </c>
      <c r="H185">
        <f t="shared" si="59"/>
        <v>3</v>
      </c>
      <c r="I185">
        <f t="shared" si="60"/>
        <v>10</v>
      </c>
      <c r="J185">
        <f t="shared" si="61"/>
        <v>0</v>
      </c>
      <c r="K185">
        <f t="shared" si="62"/>
        <v>0</v>
      </c>
      <c r="L185">
        <f t="shared" si="57"/>
        <v>0</v>
      </c>
    </row>
    <row r="186" spans="1:12" x14ac:dyDescent="0.25">
      <c r="A186">
        <v>10</v>
      </c>
      <c r="B186" s="1">
        <v>45781</v>
      </c>
      <c r="C186" t="s">
        <v>4</v>
      </c>
      <c r="D186">
        <v>5</v>
      </c>
      <c r="E186">
        <v>6</v>
      </c>
      <c r="F186" t="s">
        <v>48</v>
      </c>
      <c r="G186">
        <f t="shared" si="58"/>
        <v>6</v>
      </c>
      <c r="H186">
        <f t="shared" si="59"/>
        <v>1</v>
      </c>
      <c r="I186">
        <f t="shared" si="60"/>
        <v>7</v>
      </c>
      <c r="J186">
        <f t="shared" si="61"/>
        <v>0</v>
      </c>
      <c r="K186">
        <f t="shared" si="62"/>
        <v>0</v>
      </c>
      <c r="L186">
        <f>D186-E186</f>
        <v>-1</v>
      </c>
    </row>
    <row r="187" spans="1:12" x14ac:dyDescent="0.25">
      <c r="A187">
        <v>10</v>
      </c>
      <c r="B187" s="1">
        <v>45781</v>
      </c>
      <c r="C187" t="s">
        <v>4</v>
      </c>
      <c r="D187">
        <v>6</v>
      </c>
      <c r="E187">
        <v>7</v>
      </c>
      <c r="F187" t="s">
        <v>52</v>
      </c>
      <c r="G187">
        <f t="shared" si="58"/>
        <v>5</v>
      </c>
      <c r="H187">
        <f t="shared" si="59"/>
        <v>0</v>
      </c>
      <c r="I187">
        <f t="shared" si="60"/>
        <v>5</v>
      </c>
      <c r="J187">
        <f t="shared" si="61"/>
        <v>0</v>
      </c>
      <c r="K187">
        <f t="shared" si="62"/>
        <v>0</v>
      </c>
      <c r="L187">
        <f t="shared" ref="L187:L189" si="63">D187-E187</f>
        <v>-1</v>
      </c>
    </row>
    <row r="188" spans="1:12" x14ac:dyDescent="0.25">
      <c r="A188">
        <v>10</v>
      </c>
      <c r="B188" s="1">
        <v>45781</v>
      </c>
      <c r="C188" t="s">
        <v>4</v>
      </c>
      <c r="D188">
        <v>7</v>
      </c>
      <c r="E188">
        <v>9</v>
      </c>
      <c r="F188" t="s">
        <v>51</v>
      </c>
      <c r="G188">
        <f t="shared" si="58"/>
        <v>4</v>
      </c>
      <c r="H188">
        <f t="shared" si="59"/>
        <v>0</v>
      </c>
      <c r="I188">
        <f t="shared" si="60"/>
        <v>4</v>
      </c>
      <c r="J188">
        <f t="shared" si="61"/>
        <v>0</v>
      </c>
      <c r="K188">
        <f t="shared" si="62"/>
        <v>0</v>
      </c>
      <c r="L188">
        <f t="shared" si="63"/>
        <v>-2</v>
      </c>
    </row>
    <row r="189" spans="1:12" x14ac:dyDescent="0.25">
      <c r="A189">
        <v>10</v>
      </c>
      <c r="B189" s="1">
        <v>45781</v>
      </c>
      <c r="C189" t="s">
        <v>4</v>
      </c>
      <c r="D189">
        <v>8</v>
      </c>
      <c r="E189">
        <v>5</v>
      </c>
      <c r="F189" t="s">
        <v>37</v>
      </c>
      <c r="G189">
        <f t="shared" si="58"/>
        <v>3</v>
      </c>
      <c r="H189">
        <f t="shared" si="59"/>
        <v>0</v>
      </c>
      <c r="I189">
        <f t="shared" si="60"/>
        <v>3</v>
      </c>
      <c r="J189">
        <f t="shared" si="61"/>
        <v>0</v>
      </c>
      <c r="K189">
        <f t="shared" si="62"/>
        <v>0</v>
      </c>
      <c r="L189">
        <f t="shared" si="63"/>
        <v>3</v>
      </c>
    </row>
    <row r="190" spans="1:12" x14ac:dyDescent="0.25">
      <c r="A190">
        <v>10</v>
      </c>
      <c r="B190" s="1">
        <v>45781</v>
      </c>
      <c r="C190" t="s">
        <v>4</v>
      </c>
      <c r="D190">
        <v>9</v>
      </c>
      <c r="E190">
        <v>10</v>
      </c>
      <c r="F190" t="s">
        <v>54</v>
      </c>
      <c r="G190">
        <f t="shared" si="58"/>
        <v>2</v>
      </c>
      <c r="H190">
        <f t="shared" si="59"/>
        <v>0</v>
      </c>
      <c r="I190">
        <f t="shared" si="60"/>
        <v>2</v>
      </c>
      <c r="J190">
        <f t="shared" si="61"/>
        <v>0</v>
      </c>
      <c r="K190">
        <f t="shared" si="62"/>
        <v>0</v>
      </c>
      <c r="L190">
        <f>D190-E190</f>
        <v>-1</v>
      </c>
    </row>
    <row r="191" spans="1:12" x14ac:dyDescent="0.25">
      <c r="A191">
        <v>10</v>
      </c>
      <c r="B191" s="1">
        <v>45781</v>
      </c>
      <c r="C191" t="s">
        <v>4</v>
      </c>
      <c r="D191">
        <v>10</v>
      </c>
      <c r="E191">
        <v>8</v>
      </c>
      <c r="F191" t="s">
        <v>20</v>
      </c>
      <c r="G191">
        <f t="shared" si="58"/>
        <v>1</v>
      </c>
      <c r="H191">
        <f t="shared" si="59"/>
        <v>0</v>
      </c>
      <c r="I191">
        <f t="shared" si="60"/>
        <v>1</v>
      </c>
      <c r="J191">
        <f t="shared" si="61"/>
        <v>0</v>
      </c>
      <c r="K191">
        <f t="shared" si="62"/>
        <v>0</v>
      </c>
      <c r="L191">
        <f t="shared" ref="L191:L205" si="64">D191-E191</f>
        <v>2</v>
      </c>
    </row>
    <row r="192" spans="1:12" x14ac:dyDescent="0.25">
      <c r="A192">
        <v>10</v>
      </c>
      <c r="B192" s="1">
        <v>45781</v>
      </c>
      <c r="C192" t="s">
        <v>15</v>
      </c>
      <c r="D192">
        <v>1</v>
      </c>
      <c r="E192">
        <v>1</v>
      </c>
      <c r="F192" t="s">
        <v>43</v>
      </c>
      <c r="G192">
        <f t="shared" si="58"/>
        <v>10</v>
      </c>
      <c r="H192">
        <f t="shared" si="59"/>
        <v>9</v>
      </c>
      <c r="I192">
        <f t="shared" si="60"/>
        <v>19</v>
      </c>
      <c r="J192">
        <f t="shared" si="61"/>
        <v>1</v>
      </c>
      <c r="K192">
        <f t="shared" si="62"/>
        <v>1</v>
      </c>
      <c r="L192">
        <f t="shared" si="64"/>
        <v>0</v>
      </c>
    </row>
    <row r="193" spans="1:12" x14ac:dyDescent="0.25">
      <c r="A193">
        <v>10</v>
      </c>
      <c r="B193" s="1">
        <v>45781</v>
      </c>
      <c r="C193" t="s">
        <v>15</v>
      </c>
      <c r="D193">
        <v>2</v>
      </c>
      <c r="E193">
        <v>2</v>
      </c>
      <c r="F193" t="s">
        <v>47</v>
      </c>
      <c r="G193">
        <f t="shared" si="58"/>
        <v>9</v>
      </c>
      <c r="H193">
        <f t="shared" si="59"/>
        <v>7</v>
      </c>
      <c r="I193">
        <f t="shared" si="60"/>
        <v>16</v>
      </c>
      <c r="J193">
        <f t="shared" si="61"/>
        <v>0</v>
      </c>
      <c r="K193">
        <f t="shared" si="62"/>
        <v>1</v>
      </c>
      <c r="L193">
        <f t="shared" si="64"/>
        <v>0</v>
      </c>
    </row>
    <row r="194" spans="1:12" x14ac:dyDescent="0.25">
      <c r="A194">
        <v>10</v>
      </c>
      <c r="B194" s="1">
        <v>45781</v>
      </c>
      <c r="C194" t="s">
        <v>15</v>
      </c>
      <c r="D194">
        <v>3</v>
      </c>
      <c r="E194">
        <v>5</v>
      </c>
      <c r="F194" t="s">
        <v>55</v>
      </c>
      <c r="G194">
        <f t="shared" ref="G194:G213" si="65">11-D194</f>
        <v>8</v>
      </c>
      <c r="H194">
        <f t="shared" ref="H194:H213" si="66">IF(D194&lt;6,11-2*D194,0)</f>
        <v>5</v>
      </c>
      <c r="I194">
        <f t="shared" ref="I194:I213" si="67">G194+H194</f>
        <v>13</v>
      </c>
      <c r="J194">
        <f t="shared" si="61"/>
        <v>0</v>
      </c>
      <c r="K194">
        <f t="shared" si="62"/>
        <v>1</v>
      </c>
      <c r="L194">
        <f t="shared" si="64"/>
        <v>-2</v>
      </c>
    </row>
    <row r="195" spans="1:12" x14ac:dyDescent="0.25">
      <c r="A195">
        <v>10</v>
      </c>
      <c r="B195" s="1">
        <v>45781</v>
      </c>
      <c r="C195" t="s">
        <v>15</v>
      </c>
      <c r="D195">
        <v>4</v>
      </c>
      <c r="E195">
        <v>4</v>
      </c>
      <c r="F195" t="s">
        <v>49</v>
      </c>
      <c r="G195">
        <f t="shared" si="65"/>
        <v>7</v>
      </c>
      <c r="H195">
        <f t="shared" si="66"/>
        <v>3</v>
      </c>
      <c r="I195">
        <f t="shared" si="67"/>
        <v>10</v>
      </c>
      <c r="J195">
        <f t="shared" si="61"/>
        <v>0</v>
      </c>
      <c r="K195">
        <f t="shared" si="62"/>
        <v>0</v>
      </c>
      <c r="L195">
        <f t="shared" si="64"/>
        <v>0</v>
      </c>
    </row>
    <row r="196" spans="1:12" x14ac:dyDescent="0.25">
      <c r="A196">
        <v>10</v>
      </c>
      <c r="B196" s="1">
        <v>45781</v>
      </c>
      <c r="C196" t="s">
        <v>15</v>
      </c>
      <c r="D196">
        <v>5</v>
      </c>
      <c r="E196">
        <v>3</v>
      </c>
      <c r="F196" t="s">
        <v>39</v>
      </c>
      <c r="G196">
        <f t="shared" si="65"/>
        <v>6</v>
      </c>
      <c r="H196">
        <f t="shared" si="66"/>
        <v>1</v>
      </c>
      <c r="I196">
        <f t="shared" si="67"/>
        <v>7</v>
      </c>
      <c r="J196">
        <f t="shared" si="61"/>
        <v>0</v>
      </c>
      <c r="K196">
        <f t="shared" si="62"/>
        <v>0</v>
      </c>
      <c r="L196">
        <f t="shared" si="64"/>
        <v>2</v>
      </c>
    </row>
    <row r="197" spans="1:12" x14ac:dyDescent="0.25">
      <c r="A197">
        <v>10</v>
      </c>
      <c r="B197" s="1">
        <v>45781</v>
      </c>
      <c r="C197" t="s">
        <v>15</v>
      </c>
      <c r="D197">
        <v>6</v>
      </c>
      <c r="E197">
        <v>6</v>
      </c>
      <c r="F197" t="s">
        <v>50</v>
      </c>
      <c r="G197">
        <f t="shared" si="65"/>
        <v>5</v>
      </c>
      <c r="H197">
        <f t="shared" si="66"/>
        <v>0</v>
      </c>
      <c r="I197">
        <f t="shared" si="67"/>
        <v>5</v>
      </c>
      <c r="J197">
        <f t="shared" si="61"/>
        <v>0</v>
      </c>
      <c r="K197">
        <f t="shared" si="62"/>
        <v>0</v>
      </c>
      <c r="L197">
        <f t="shared" si="64"/>
        <v>0</v>
      </c>
    </row>
    <row r="198" spans="1:12" x14ac:dyDescent="0.25">
      <c r="A198">
        <v>10</v>
      </c>
      <c r="B198" s="1">
        <v>45781</v>
      </c>
      <c r="C198" t="s">
        <v>15</v>
      </c>
      <c r="D198">
        <v>7</v>
      </c>
      <c r="E198">
        <v>8</v>
      </c>
      <c r="F198" t="s">
        <v>53</v>
      </c>
      <c r="G198">
        <f t="shared" si="65"/>
        <v>4</v>
      </c>
      <c r="H198">
        <f t="shared" si="66"/>
        <v>0</v>
      </c>
      <c r="I198">
        <f t="shared" si="67"/>
        <v>4</v>
      </c>
      <c r="J198">
        <f t="shared" si="61"/>
        <v>0</v>
      </c>
      <c r="K198">
        <f t="shared" si="62"/>
        <v>0</v>
      </c>
      <c r="L198">
        <f t="shared" si="64"/>
        <v>-1</v>
      </c>
    </row>
    <row r="199" spans="1:12" x14ac:dyDescent="0.25">
      <c r="A199">
        <v>10</v>
      </c>
      <c r="B199" s="1">
        <v>45781</v>
      </c>
      <c r="C199" t="s">
        <v>15</v>
      </c>
      <c r="D199">
        <v>8</v>
      </c>
      <c r="E199">
        <v>10</v>
      </c>
      <c r="F199" t="s">
        <v>57</v>
      </c>
      <c r="G199">
        <f t="shared" si="65"/>
        <v>3</v>
      </c>
      <c r="H199">
        <f t="shared" si="66"/>
        <v>0</v>
      </c>
      <c r="I199">
        <f t="shared" si="67"/>
        <v>3</v>
      </c>
      <c r="J199">
        <f t="shared" si="61"/>
        <v>0</v>
      </c>
      <c r="K199">
        <f t="shared" si="62"/>
        <v>0</v>
      </c>
      <c r="L199">
        <f t="shared" si="64"/>
        <v>-2</v>
      </c>
    </row>
    <row r="200" spans="1:12" x14ac:dyDescent="0.25">
      <c r="A200">
        <v>10</v>
      </c>
      <c r="B200" s="1">
        <v>45781</v>
      </c>
      <c r="C200" t="s">
        <v>15</v>
      </c>
      <c r="D200">
        <v>9</v>
      </c>
      <c r="E200">
        <v>9</v>
      </c>
      <c r="F200" t="s">
        <v>56</v>
      </c>
      <c r="G200">
        <f t="shared" si="65"/>
        <v>2</v>
      </c>
      <c r="H200">
        <f t="shared" si="66"/>
        <v>0</v>
      </c>
      <c r="I200">
        <f t="shared" si="67"/>
        <v>2</v>
      </c>
      <c r="J200">
        <f t="shared" si="61"/>
        <v>0</v>
      </c>
      <c r="K200">
        <f t="shared" si="62"/>
        <v>0</v>
      </c>
      <c r="L200">
        <f t="shared" si="64"/>
        <v>0</v>
      </c>
    </row>
    <row r="201" spans="1:12" x14ac:dyDescent="0.25">
      <c r="A201">
        <v>10</v>
      </c>
      <c r="B201" s="1">
        <v>45781</v>
      </c>
      <c r="C201" t="s">
        <v>15</v>
      </c>
      <c r="D201">
        <v>10</v>
      </c>
      <c r="E201">
        <v>11</v>
      </c>
      <c r="F201" t="s">
        <v>62</v>
      </c>
      <c r="G201">
        <f t="shared" si="65"/>
        <v>1</v>
      </c>
      <c r="H201">
        <f t="shared" si="66"/>
        <v>0</v>
      </c>
      <c r="I201">
        <f t="shared" si="67"/>
        <v>1</v>
      </c>
      <c r="J201">
        <f t="shared" si="61"/>
        <v>0</v>
      </c>
      <c r="K201">
        <f t="shared" si="62"/>
        <v>0</v>
      </c>
      <c r="L201">
        <f t="shared" si="64"/>
        <v>-1</v>
      </c>
    </row>
    <row r="202" spans="1:12" x14ac:dyDescent="0.25">
      <c r="A202">
        <v>11</v>
      </c>
      <c r="B202" s="1">
        <v>45795</v>
      </c>
      <c r="C202" t="s">
        <v>4</v>
      </c>
      <c r="D202">
        <v>1</v>
      </c>
      <c r="E202">
        <v>1</v>
      </c>
      <c r="F202" t="s">
        <v>44</v>
      </c>
      <c r="G202">
        <f t="shared" si="65"/>
        <v>10</v>
      </c>
      <c r="H202">
        <f t="shared" si="66"/>
        <v>9</v>
      </c>
      <c r="I202">
        <f t="shared" si="67"/>
        <v>19</v>
      </c>
      <c r="J202">
        <f t="shared" ref="J202:J221" si="68">COUNTIF(D202,"=1")</f>
        <v>1</v>
      </c>
      <c r="K202">
        <f t="shared" ref="K202:K221" si="69">COUNTIF(D202,"&lt;4")</f>
        <v>1</v>
      </c>
      <c r="L202">
        <f t="shared" si="64"/>
        <v>0</v>
      </c>
    </row>
    <row r="203" spans="1:12" x14ac:dyDescent="0.25">
      <c r="A203">
        <v>11</v>
      </c>
      <c r="B203" s="1">
        <v>45795</v>
      </c>
      <c r="C203" t="s">
        <v>4</v>
      </c>
      <c r="D203">
        <v>2</v>
      </c>
      <c r="E203">
        <v>2</v>
      </c>
      <c r="F203" t="s">
        <v>45</v>
      </c>
      <c r="G203">
        <f t="shared" si="65"/>
        <v>9</v>
      </c>
      <c r="H203">
        <f t="shared" si="66"/>
        <v>7</v>
      </c>
      <c r="I203">
        <f t="shared" si="67"/>
        <v>16</v>
      </c>
      <c r="J203">
        <f t="shared" si="68"/>
        <v>0</v>
      </c>
      <c r="K203">
        <f t="shared" si="69"/>
        <v>1</v>
      </c>
      <c r="L203">
        <f t="shared" si="64"/>
        <v>0</v>
      </c>
    </row>
    <row r="204" spans="1:12" x14ac:dyDescent="0.25">
      <c r="A204">
        <v>11</v>
      </c>
      <c r="B204" s="1">
        <v>45795</v>
      </c>
      <c r="C204" t="s">
        <v>4</v>
      </c>
      <c r="D204">
        <v>3</v>
      </c>
      <c r="E204">
        <v>4</v>
      </c>
      <c r="F204" t="s">
        <v>46</v>
      </c>
      <c r="G204">
        <f t="shared" si="65"/>
        <v>8</v>
      </c>
      <c r="H204">
        <f t="shared" si="66"/>
        <v>5</v>
      </c>
      <c r="I204">
        <f t="shared" si="67"/>
        <v>13</v>
      </c>
      <c r="J204">
        <f t="shared" si="68"/>
        <v>0</v>
      </c>
      <c r="K204">
        <f t="shared" si="69"/>
        <v>1</v>
      </c>
      <c r="L204">
        <f t="shared" si="64"/>
        <v>-1</v>
      </c>
    </row>
    <row r="205" spans="1:12" x14ac:dyDescent="0.25">
      <c r="A205">
        <v>11</v>
      </c>
      <c r="B205" s="1">
        <v>45795</v>
      </c>
      <c r="C205" t="s">
        <v>4</v>
      </c>
      <c r="D205">
        <v>4</v>
      </c>
      <c r="E205">
        <v>5</v>
      </c>
      <c r="F205" t="s">
        <v>48</v>
      </c>
      <c r="G205">
        <f t="shared" si="65"/>
        <v>7</v>
      </c>
      <c r="H205">
        <f t="shared" si="66"/>
        <v>3</v>
      </c>
      <c r="I205">
        <f t="shared" si="67"/>
        <v>10</v>
      </c>
      <c r="J205">
        <f t="shared" si="68"/>
        <v>0</v>
      </c>
      <c r="K205">
        <f t="shared" si="69"/>
        <v>0</v>
      </c>
      <c r="L205">
        <f t="shared" si="64"/>
        <v>-1</v>
      </c>
    </row>
    <row r="206" spans="1:12" x14ac:dyDescent="0.25">
      <c r="A206">
        <v>11</v>
      </c>
      <c r="B206" s="1">
        <v>45795</v>
      </c>
      <c r="C206" t="s">
        <v>4</v>
      </c>
      <c r="D206">
        <v>5</v>
      </c>
      <c r="E206">
        <v>6</v>
      </c>
      <c r="F206" t="s">
        <v>52</v>
      </c>
      <c r="G206">
        <f t="shared" si="65"/>
        <v>6</v>
      </c>
      <c r="H206">
        <f t="shared" si="66"/>
        <v>1</v>
      </c>
      <c r="I206">
        <f t="shared" si="67"/>
        <v>7</v>
      </c>
      <c r="J206">
        <f t="shared" si="68"/>
        <v>0</v>
      </c>
      <c r="K206">
        <f t="shared" si="69"/>
        <v>0</v>
      </c>
      <c r="L206">
        <f>D206-E206</f>
        <v>-1</v>
      </c>
    </row>
    <row r="207" spans="1:12" x14ac:dyDescent="0.25">
      <c r="A207">
        <v>11</v>
      </c>
      <c r="B207" s="1">
        <v>45795</v>
      </c>
      <c r="C207" t="s">
        <v>4</v>
      </c>
      <c r="D207">
        <v>6</v>
      </c>
      <c r="E207">
        <v>7</v>
      </c>
      <c r="F207" t="s">
        <v>51</v>
      </c>
      <c r="G207">
        <f t="shared" si="65"/>
        <v>5</v>
      </c>
      <c r="H207">
        <f t="shared" si="66"/>
        <v>0</v>
      </c>
      <c r="I207">
        <f t="shared" si="67"/>
        <v>5</v>
      </c>
      <c r="J207">
        <f t="shared" si="68"/>
        <v>0</v>
      </c>
      <c r="K207">
        <f t="shared" si="69"/>
        <v>0</v>
      </c>
      <c r="L207">
        <f t="shared" ref="L207:L209" si="70">D207-E207</f>
        <v>-1</v>
      </c>
    </row>
    <row r="208" spans="1:12" x14ac:dyDescent="0.25">
      <c r="A208">
        <v>11</v>
      </c>
      <c r="B208" s="1">
        <v>45795</v>
      </c>
      <c r="C208" t="s">
        <v>4</v>
      </c>
      <c r="D208">
        <v>7</v>
      </c>
      <c r="E208">
        <v>3</v>
      </c>
      <c r="F208" t="s">
        <v>14</v>
      </c>
      <c r="G208">
        <f t="shared" si="65"/>
        <v>4</v>
      </c>
      <c r="H208">
        <f t="shared" si="66"/>
        <v>0</v>
      </c>
      <c r="I208">
        <f t="shared" si="67"/>
        <v>4</v>
      </c>
      <c r="J208">
        <f t="shared" si="68"/>
        <v>0</v>
      </c>
      <c r="K208">
        <f t="shared" si="69"/>
        <v>0</v>
      </c>
      <c r="L208">
        <f t="shared" si="70"/>
        <v>4</v>
      </c>
    </row>
    <row r="209" spans="1:12" x14ac:dyDescent="0.25">
      <c r="A209">
        <v>11</v>
      </c>
      <c r="B209" s="1">
        <v>45795</v>
      </c>
      <c r="C209" t="s">
        <v>4</v>
      </c>
      <c r="D209">
        <v>8</v>
      </c>
      <c r="E209">
        <v>9</v>
      </c>
      <c r="F209" t="s">
        <v>54</v>
      </c>
      <c r="G209">
        <f t="shared" si="65"/>
        <v>3</v>
      </c>
      <c r="H209">
        <f t="shared" si="66"/>
        <v>0</v>
      </c>
      <c r="I209">
        <f t="shared" si="67"/>
        <v>3</v>
      </c>
      <c r="J209">
        <f t="shared" si="68"/>
        <v>0</v>
      </c>
      <c r="K209">
        <f t="shared" si="69"/>
        <v>0</v>
      </c>
      <c r="L209">
        <f t="shared" si="70"/>
        <v>-1</v>
      </c>
    </row>
    <row r="210" spans="1:12" x14ac:dyDescent="0.25">
      <c r="A210">
        <v>11</v>
      </c>
      <c r="B210" s="1">
        <v>45795</v>
      </c>
      <c r="C210" t="s">
        <v>4</v>
      </c>
      <c r="D210">
        <v>9</v>
      </c>
      <c r="E210">
        <v>11</v>
      </c>
      <c r="F210" t="s">
        <v>58</v>
      </c>
      <c r="G210">
        <f t="shared" si="65"/>
        <v>2</v>
      </c>
      <c r="H210">
        <f t="shared" si="66"/>
        <v>0</v>
      </c>
      <c r="I210">
        <f t="shared" si="67"/>
        <v>2</v>
      </c>
      <c r="J210">
        <f t="shared" si="68"/>
        <v>0</v>
      </c>
      <c r="K210">
        <f t="shared" si="69"/>
        <v>0</v>
      </c>
      <c r="L210">
        <f>D210-E210</f>
        <v>-2</v>
      </c>
    </row>
    <row r="211" spans="1:12" x14ac:dyDescent="0.25">
      <c r="A211">
        <v>11</v>
      </c>
      <c r="B211" s="1">
        <v>45795</v>
      </c>
      <c r="C211" t="s">
        <v>4</v>
      </c>
      <c r="D211">
        <v>10</v>
      </c>
      <c r="E211">
        <v>11</v>
      </c>
      <c r="F211" t="s">
        <v>59</v>
      </c>
      <c r="G211">
        <f t="shared" si="65"/>
        <v>1</v>
      </c>
      <c r="H211">
        <f t="shared" si="66"/>
        <v>0</v>
      </c>
      <c r="I211">
        <f t="shared" si="67"/>
        <v>1</v>
      </c>
      <c r="J211">
        <f t="shared" si="68"/>
        <v>0</v>
      </c>
      <c r="K211">
        <f t="shared" si="69"/>
        <v>0</v>
      </c>
      <c r="L211">
        <f t="shared" ref="L211:L225" si="71">D211-E211</f>
        <v>-1</v>
      </c>
    </row>
    <row r="212" spans="1:12" x14ac:dyDescent="0.25">
      <c r="A212">
        <v>11</v>
      </c>
      <c r="B212" s="1">
        <v>45795</v>
      </c>
      <c r="C212" t="s">
        <v>15</v>
      </c>
      <c r="D212">
        <v>1</v>
      </c>
      <c r="E212">
        <v>2</v>
      </c>
      <c r="F212" t="s">
        <v>47</v>
      </c>
      <c r="G212">
        <f t="shared" si="65"/>
        <v>10</v>
      </c>
      <c r="H212">
        <f t="shared" si="66"/>
        <v>9</v>
      </c>
      <c r="I212">
        <f t="shared" si="67"/>
        <v>19</v>
      </c>
      <c r="J212">
        <f t="shared" si="68"/>
        <v>1</v>
      </c>
      <c r="K212">
        <f t="shared" si="69"/>
        <v>1</v>
      </c>
      <c r="L212">
        <f t="shared" si="71"/>
        <v>-1</v>
      </c>
    </row>
    <row r="213" spans="1:12" x14ac:dyDescent="0.25">
      <c r="A213">
        <v>11</v>
      </c>
      <c r="B213" s="1">
        <v>45795</v>
      </c>
      <c r="C213" t="s">
        <v>15</v>
      </c>
      <c r="D213">
        <v>2</v>
      </c>
      <c r="E213">
        <v>3</v>
      </c>
      <c r="F213" t="s">
        <v>55</v>
      </c>
      <c r="G213">
        <f t="shared" si="65"/>
        <v>9</v>
      </c>
      <c r="H213">
        <f t="shared" si="66"/>
        <v>7</v>
      </c>
      <c r="I213">
        <f t="shared" si="67"/>
        <v>16</v>
      </c>
      <c r="J213">
        <f t="shared" si="68"/>
        <v>0</v>
      </c>
      <c r="K213">
        <f t="shared" si="69"/>
        <v>1</v>
      </c>
      <c r="L213">
        <f t="shared" si="71"/>
        <v>-1</v>
      </c>
    </row>
    <row r="214" spans="1:12" x14ac:dyDescent="0.25">
      <c r="A214">
        <v>11</v>
      </c>
      <c r="B214" s="1">
        <v>45795</v>
      </c>
      <c r="C214" t="s">
        <v>15</v>
      </c>
      <c r="D214">
        <v>3</v>
      </c>
      <c r="E214">
        <v>1</v>
      </c>
      <c r="F214" t="s">
        <v>43</v>
      </c>
      <c r="G214">
        <f t="shared" ref="G214:G233" si="72">11-D214</f>
        <v>8</v>
      </c>
      <c r="H214">
        <f t="shared" ref="H214:H233" si="73">IF(D214&lt;6,11-2*D214,0)</f>
        <v>5</v>
      </c>
      <c r="I214">
        <f t="shared" ref="I214:I233" si="74">G214+H214</f>
        <v>13</v>
      </c>
      <c r="J214">
        <f t="shared" si="68"/>
        <v>0</v>
      </c>
      <c r="K214">
        <f t="shared" si="69"/>
        <v>1</v>
      </c>
      <c r="L214">
        <f t="shared" si="71"/>
        <v>2</v>
      </c>
    </row>
    <row r="215" spans="1:12" x14ac:dyDescent="0.25">
      <c r="A215">
        <v>11</v>
      </c>
      <c r="B215" s="1">
        <v>45795</v>
      </c>
      <c r="C215" t="s">
        <v>15</v>
      </c>
      <c r="D215">
        <v>4</v>
      </c>
      <c r="E215">
        <v>6</v>
      </c>
      <c r="F215" t="s">
        <v>50</v>
      </c>
      <c r="G215">
        <f t="shared" si="72"/>
        <v>7</v>
      </c>
      <c r="H215">
        <f t="shared" si="73"/>
        <v>3</v>
      </c>
      <c r="I215">
        <f t="shared" si="74"/>
        <v>10</v>
      </c>
      <c r="J215">
        <f t="shared" si="68"/>
        <v>0</v>
      </c>
      <c r="K215">
        <f t="shared" si="69"/>
        <v>0</v>
      </c>
      <c r="L215">
        <f t="shared" si="71"/>
        <v>-2</v>
      </c>
    </row>
    <row r="216" spans="1:12" x14ac:dyDescent="0.25">
      <c r="A216">
        <v>11</v>
      </c>
      <c r="B216" s="1">
        <v>45795</v>
      </c>
      <c r="C216" t="s">
        <v>15</v>
      </c>
      <c r="D216">
        <v>5</v>
      </c>
      <c r="E216">
        <v>4</v>
      </c>
      <c r="F216" t="s">
        <v>49</v>
      </c>
      <c r="G216">
        <f t="shared" si="72"/>
        <v>6</v>
      </c>
      <c r="H216">
        <f t="shared" si="73"/>
        <v>1</v>
      </c>
      <c r="I216">
        <f t="shared" si="74"/>
        <v>7</v>
      </c>
      <c r="J216">
        <f t="shared" si="68"/>
        <v>0</v>
      </c>
      <c r="K216">
        <f t="shared" si="69"/>
        <v>0</v>
      </c>
      <c r="L216">
        <f t="shared" si="71"/>
        <v>1</v>
      </c>
    </row>
    <row r="217" spans="1:12" x14ac:dyDescent="0.25">
      <c r="A217">
        <v>11</v>
      </c>
      <c r="B217" s="1">
        <v>45795</v>
      </c>
      <c r="C217" t="s">
        <v>15</v>
      </c>
      <c r="D217">
        <v>6</v>
      </c>
      <c r="E217">
        <v>7</v>
      </c>
      <c r="F217" t="s">
        <v>53</v>
      </c>
      <c r="G217">
        <f t="shared" si="72"/>
        <v>5</v>
      </c>
      <c r="H217">
        <f t="shared" si="73"/>
        <v>0</v>
      </c>
      <c r="I217">
        <f t="shared" si="74"/>
        <v>5</v>
      </c>
      <c r="J217">
        <f t="shared" si="68"/>
        <v>0</v>
      </c>
      <c r="K217">
        <f t="shared" si="69"/>
        <v>0</v>
      </c>
      <c r="L217">
        <f t="shared" si="71"/>
        <v>-1</v>
      </c>
    </row>
    <row r="218" spans="1:12" x14ac:dyDescent="0.25">
      <c r="A218">
        <v>11</v>
      </c>
      <c r="B218" s="1">
        <v>45795</v>
      </c>
      <c r="C218" t="s">
        <v>15</v>
      </c>
      <c r="D218">
        <v>7</v>
      </c>
      <c r="E218">
        <v>8</v>
      </c>
      <c r="F218" t="s">
        <v>57</v>
      </c>
      <c r="G218">
        <f t="shared" si="72"/>
        <v>4</v>
      </c>
      <c r="H218">
        <f t="shared" si="73"/>
        <v>0</v>
      </c>
      <c r="I218">
        <f t="shared" si="74"/>
        <v>4</v>
      </c>
      <c r="J218">
        <f t="shared" si="68"/>
        <v>0</v>
      </c>
      <c r="K218">
        <f t="shared" si="69"/>
        <v>0</v>
      </c>
      <c r="L218">
        <f t="shared" si="71"/>
        <v>-1</v>
      </c>
    </row>
    <row r="219" spans="1:12" x14ac:dyDescent="0.25">
      <c r="A219">
        <v>11</v>
      </c>
      <c r="B219" s="1">
        <v>45795</v>
      </c>
      <c r="C219" t="s">
        <v>15</v>
      </c>
      <c r="D219">
        <v>8</v>
      </c>
      <c r="E219">
        <v>9</v>
      </c>
      <c r="F219" t="s">
        <v>56</v>
      </c>
      <c r="G219">
        <f t="shared" si="72"/>
        <v>3</v>
      </c>
      <c r="H219">
        <f t="shared" si="73"/>
        <v>0</v>
      </c>
      <c r="I219">
        <f t="shared" si="74"/>
        <v>3</v>
      </c>
      <c r="J219">
        <f t="shared" si="68"/>
        <v>0</v>
      </c>
      <c r="K219">
        <f t="shared" si="69"/>
        <v>0</v>
      </c>
      <c r="L219">
        <f t="shared" si="71"/>
        <v>-1</v>
      </c>
    </row>
    <row r="220" spans="1:12" x14ac:dyDescent="0.25">
      <c r="A220">
        <v>11</v>
      </c>
      <c r="B220" s="1">
        <v>45795</v>
      </c>
      <c r="C220" t="s">
        <v>15</v>
      </c>
      <c r="D220">
        <v>9</v>
      </c>
      <c r="E220">
        <v>10</v>
      </c>
      <c r="F220" t="s">
        <v>62</v>
      </c>
      <c r="G220">
        <f t="shared" si="72"/>
        <v>2</v>
      </c>
      <c r="H220">
        <f t="shared" si="73"/>
        <v>0</v>
      </c>
      <c r="I220">
        <f t="shared" si="74"/>
        <v>2</v>
      </c>
      <c r="J220">
        <f t="shared" si="68"/>
        <v>0</v>
      </c>
      <c r="K220">
        <f t="shared" si="69"/>
        <v>0</v>
      </c>
      <c r="L220">
        <f t="shared" si="71"/>
        <v>-1</v>
      </c>
    </row>
    <row r="221" spans="1:12" x14ac:dyDescent="0.25">
      <c r="A221">
        <v>11</v>
      </c>
      <c r="B221" s="1">
        <v>45795</v>
      </c>
      <c r="C221" t="s">
        <v>15</v>
      </c>
      <c r="D221">
        <v>10</v>
      </c>
      <c r="E221">
        <v>5</v>
      </c>
      <c r="F221" t="s">
        <v>39</v>
      </c>
      <c r="G221">
        <f t="shared" si="72"/>
        <v>1</v>
      </c>
      <c r="H221">
        <f t="shared" si="73"/>
        <v>0</v>
      </c>
      <c r="I221">
        <f t="shared" si="74"/>
        <v>1</v>
      </c>
      <c r="J221">
        <f t="shared" si="68"/>
        <v>0</v>
      </c>
      <c r="K221">
        <f t="shared" si="69"/>
        <v>0</v>
      </c>
      <c r="L221">
        <f t="shared" si="71"/>
        <v>5</v>
      </c>
    </row>
    <row r="222" spans="1:12" x14ac:dyDescent="0.25">
      <c r="A222">
        <v>12</v>
      </c>
      <c r="B222" s="1">
        <v>45809</v>
      </c>
      <c r="C222" t="s">
        <v>4</v>
      </c>
      <c r="D222">
        <v>1</v>
      </c>
      <c r="E222">
        <v>2</v>
      </c>
      <c r="F222" t="s">
        <v>45</v>
      </c>
      <c r="G222">
        <f t="shared" si="72"/>
        <v>10</v>
      </c>
      <c r="H222">
        <f t="shared" si="73"/>
        <v>9</v>
      </c>
      <c r="I222">
        <f t="shared" si="74"/>
        <v>19</v>
      </c>
      <c r="J222">
        <f t="shared" ref="J222:J241" si="75">COUNTIF(D222,"=1")</f>
        <v>1</v>
      </c>
      <c r="K222">
        <f t="shared" ref="K222:K241" si="76">COUNTIF(D222,"&lt;4")</f>
        <v>1</v>
      </c>
      <c r="L222">
        <f t="shared" si="71"/>
        <v>-1</v>
      </c>
    </row>
    <row r="223" spans="1:12" x14ac:dyDescent="0.25">
      <c r="A223">
        <v>12</v>
      </c>
      <c r="B223" s="1">
        <v>45809</v>
      </c>
      <c r="C223" t="s">
        <v>4</v>
      </c>
      <c r="D223">
        <v>2</v>
      </c>
      <c r="E223">
        <v>1</v>
      </c>
      <c r="F223" t="s">
        <v>44</v>
      </c>
      <c r="G223">
        <f t="shared" si="72"/>
        <v>9</v>
      </c>
      <c r="H223">
        <f t="shared" si="73"/>
        <v>7</v>
      </c>
      <c r="I223">
        <f t="shared" si="74"/>
        <v>16</v>
      </c>
      <c r="J223">
        <f t="shared" si="75"/>
        <v>0</v>
      </c>
      <c r="K223">
        <f t="shared" si="76"/>
        <v>1</v>
      </c>
      <c r="L223">
        <f t="shared" si="71"/>
        <v>1</v>
      </c>
    </row>
    <row r="224" spans="1:12" x14ac:dyDescent="0.25">
      <c r="A224">
        <v>12</v>
      </c>
      <c r="B224" s="1">
        <v>45809</v>
      </c>
      <c r="C224" t="s">
        <v>4</v>
      </c>
      <c r="D224">
        <v>3</v>
      </c>
      <c r="E224">
        <v>5</v>
      </c>
      <c r="F224" t="s">
        <v>52</v>
      </c>
      <c r="G224">
        <f t="shared" si="72"/>
        <v>8</v>
      </c>
      <c r="H224">
        <f t="shared" si="73"/>
        <v>5</v>
      </c>
      <c r="I224">
        <f t="shared" si="74"/>
        <v>13</v>
      </c>
      <c r="J224">
        <f t="shared" si="75"/>
        <v>0</v>
      </c>
      <c r="K224">
        <f t="shared" si="76"/>
        <v>1</v>
      </c>
      <c r="L224">
        <f t="shared" si="71"/>
        <v>-2</v>
      </c>
    </row>
    <row r="225" spans="1:12" x14ac:dyDescent="0.25">
      <c r="A225">
        <v>12</v>
      </c>
      <c r="B225" s="1">
        <v>45809</v>
      </c>
      <c r="C225" t="s">
        <v>4</v>
      </c>
      <c r="D225">
        <v>4</v>
      </c>
      <c r="E225">
        <v>3</v>
      </c>
      <c r="F225" t="s">
        <v>46</v>
      </c>
      <c r="G225">
        <f t="shared" si="72"/>
        <v>7</v>
      </c>
      <c r="H225">
        <f t="shared" si="73"/>
        <v>3</v>
      </c>
      <c r="I225">
        <f t="shared" si="74"/>
        <v>10</v>
      </c>
      <c r="J225">
        <f t="shared" si="75"/>
        <v>0</v>
      </c>
      <c r="K225">
        <f t="shared" si="76"/>
        <v>0</v>
      </c>
      <c r="L225">
        <f t="shared" si="71"/>
        <v>1</v>
      </c>
    </row>
    <row r="226" spans="1:12" x14ac:dyDescent="0.25">
      <c r="A226">
        <v>12</v>
      </c>
      <c r="B226" s="1">
        <v>45809</v>
      </c>
      <c r="C226" t="s">
        <v>4</v>
      </c>
      <c r="D226">
        <v>5</v>
      </c>
      <c r="E226">
        <v>4</v>
      </c>
      <c r="F226" t="s">
        <v>48</v>
      </c>
      <c r="G226">
        <f t="shared" si="72"/>
        <v>6</v>
      </c>
      <c r="H226">
        <f t="shared" si="73"/>
        <v>1</v>
      </c>
      <c r="I226">
        <f t="shared" si="74"/>
        <v>7</v>
      </c>
      <c r="J226">
        <f t="shared" si="75"/>
        <v>0</v>
      </c>
      <c r="K226">
        <f t="shared" si="76"/>
        <v>0</v>
      </c>
      <c r="L226">
        <f>D226-E226</f>
        <v>1</v>
      </c>
    </row>
    <row r="227" spans="1:12" x14ac:dyDescent="0.25">
      <c r="A227">
        <v>12</v>
      </c>
      <c r="B227" s="1">
        <v>45809</v>
      </c>
      <c r="C227" t="s">
        <v>4</v>
      </c>
      <c r="D227">
        <v>6</v>
      </c>
      <c r="E227">
        <v>6</v>
      </c>
      <c r="F227" t="s">
        <v>51</v>
      </c>
      <c r="G227">
        <f t="shared" si="72"/>
        <v>5</v>
      </c>
      <c r="H227">
        <f t="shared" si="73"/>
        <v>0</v>
      </c>
      <c r="I227">
        <f t="shared" si="74"/>
        <v>5</v>
      </c>
      <c r="J227">
        <f t="shared" si="75"/>
        <v>0</v>
      </c>
      <c r="K227">
        <f t="shared" si="76"/>
        <v>0</v>
      </c>
      <c r="L227">
        <f t="shared" ref="L227:L229" si="77">D227-E227</f>
        <v>0</v>
      </c>
    </row>
    <row r="228" spans="1:12" x14ac:dyDescent="0.25">
      <c r="A228">
        <v>12</v>
      </c>
      <c r="B228" s="1">
        <v>45809</v>
      </c>
      <c r="C228" t="s">
        <v>4</v>
      </c>
      <c r="D228">
        <v>7</v>
      </c>
      <c r="E228">
        <v>8</v>
      </c>
      <c r="F228" t="s">
        <v>54</v>
      </c>
      <c r="G228">
        <f t="shared" si="72"/>
        <v>4</v>
      </c>
      <c r="H228">
        <f t="shared" si="73"/>
        <v>0</v>
      </c>
      <c r="I228">
        <f t="shared" si="74"/>
        <v>4</v>
      </c>
      <c r="J228">
        <f t="shared" si="75"/>
        <v>0</v>
      </c>
      <c r="K228">
        <f t="shared" si="76"/>
        <v>0</v>
      </c>
      <c r="L228">
        <f t="shared" si="77"/>
        <v>-1</v>
      </c>
    </row>
    <row r="229" spans="1:12" x14ac:dyDescent="0.25">
      <c r="A229">
        <v>12</v>
      </c>
      <c r="B229" s="1">
        <v>45809</v>
      </c>
      <c r="C229" t="s">
        <v>4</v>
      </c>
      <c r="D229">
        <v>8</v>
      </c>
      <c r="E229">
        <v>9</v>
      </c>
      <c r="F229" t="s">
        <v>58</v>
      </c>
      <c r="G229">
        <f t="shared" si="72"/>
        <v>3</v>
      </c>
      <c r="H229">
        <f t="shared" si="73"/>
        <v>0</v>
      </c>
      <c r="I229">
        <f t="shared" si="74"/>
        <v>3</v>
      </c>
      <c r="J229">
        <f t="shared" si="75"/>
        <v>0</v>
      </c>
      <c r="K229">
        <f t="shared" si="76"/>
        <v>0</v>
      </c>
      <c r="L229">
        <f t="shared" si="77"/>
        <v>-1</v>
      </c>
    </row>
    <row r="230" spans="1:12" x14ac:dyDescent="0.25">
      <c r="A230">
        <v>12</v>
      </c>
      <c r="B230" s="1">
        <v>45809</v>
      </c>
      <c r="C230" t="s">
        <v>4</v>
      </c>
      <c r="D230">
        <v>9</v>
      </c>
      <c r="E230">
        <v>10</v>
      </c>
      <c r="F230" t="s">
        <v>59</v>
      </c>
      <c r="G230">
        <f t="shared" si="72"/>
        <v>2</v>
      </c>
      <c r="H230">
        <f t="shared" si="73"/>
        <v>0</v>
      </c>
      <c r="I230">
        <f t="shared" si="74"/>
        <v>2</v>
      </c>
      <c r="J230">
        <f t="shared" si="75"/>
        <v>0</v>
      </c>
      <c r="K230">
        <f t="shared" si="76"/>
        <v>0</v>
      </c>
      <c r="L230">
        <f>D230-E230</f>
        <v>-1</v>
      </c>
    </row>
    <row r="231" spans="1:12" x14ac:dyDescent="0.25">
      <c r="A231">
        <v>12</v>
      </c>
      <c r="B231" s="1">
        <v>45809</v>
      </c>
      <c r="C231" t="s">
        <v>4</v>
      </c>
      <c r="D231">
        <v>10</v>
      </c>
      <c r="E231">
        <v>7</v>
      </c>
      <c r="F231" t="s">
        <v>14</v>
      </c>
      <c r="G231">
        <f t="shared" si="72"/>
        <v>1</v>
      </c>
      <c r="H231">
        <f t="shared" si="73"/>
        <v>0</v>
      </c>
      <c r="I231">
        <f t="shared" si="74"/>
        <v>1</v>
      </c>
      <c r="J231">
        <f t="shared" si="75"/>
        <v>0</v>
      </c>
      <c r="K231">
        <f t="shared" si="76"/>
        <v>0</v>
      </c>
      <c r="L231">
        <f t="shared" ref="L231:L245" si="78">D231-E231</f>
        <v>3</v>
      </c>
    </row>
    <row r="232" spans="1:12" x14ac:dyDescent="0.25">
      <c r="A232">
        <v>12</v>
      </c>
      <c r="B232" s="1">
        <v>45809</v>
      </c>
      <c r="C232" t="s">
        <v>15</v>
      </c>
      <c r="D232">
        <v>1</v>
      </c>
      <c r="E232">
        <v>1</v>
      </c>
      <c r="F232" t="s">
        <v>47</v>
      </c>
      <c r="G232">
        <f t="shared" si="72"/>
        <v>10</v>
      </c>
      <c r="H232">
        <f t="shared" si="73"/>
        <v>9</v>
      </c>
      <c r="I232">
        <f t="shared" si="74"/>
        <v>19</v>
      </c>
      <c r="J232">
        <f t="shared" si="75"/>
        <v>1</v>
      </c>
      <c r="K232">
        <f t="shared" si="76"/>
        <v>1</v>
      </c>
      <c r="L232">
        <f t="shared" si="78"/>
        <v>0</v>
      </c>
    </row>
    <row r="233" spans="1:12" x14ac:dyDescent="0.25">
      <c r="A233">
        <v>12</v>
      </c>
      <c r="B233" s="1">
        <v>45809</v>
      </c>
      <c r="C233" t="s">
        <v>15</v>
      </c>
      <c r="D233">
        <v>2</v>
      </c>
      <c r="E233">
        <v>2</v>
      </c>
      <c r="F233" t="s">
        <v>55</v>
      </c>
      <c r="G233">
        <f t="shared" si="72"/>
        <v>9</v>
      </c>
      <c r="H233">
        <f t="shared" si="73"/>
        <v>7</v>
      </c>
      <c r="I233">
        <f t="shared" si="74"/>
        <v>16</v>
      </c>
      <c r="J233">
        <f t="shared" si="75"/>
        <v>0</v>
      </c>
      <c r="K233">
        <f t="shared" si="76"/>
        <v>1</v>
      </c>
      <c r="L233">
        <f t="shared" si="78"/>
        <v>0</v>
      </c>
    </row>
    <row r="234" spans="1:12" x14ac:dyDescent="0.25">
      <c r="A234">
        <v>12</v>
      </c>
      <c r="B234" s="1">
        <v>45809</v>
      </c>
      <c r="C234" t="s">
        <v>15</v>
      </c>
      <c r="D234">
        <v>3</v>
      </c>
      <c r="E234">
        <v>4</v>
      </c>
      <c r="F234" t="s">
        <v>50</v>
      </c>
      <c r="G234">
        <f t="shared" ref="G234:G253" si="79">11-D234</f>
        <v>8</v>
      </c>
      <c r="H234">
        <f t="shared" ref="H234:H253" si="80">IF(D234&lt;6,11-2*D234,0)</f>
        <v>5</v>
      </c>
      <c r="I234">
        <f t="shared" ref="I234:I253" si="81">G234+H234</f>
        <v>13</v>
      </c>
      <c r="J234">
        <f t="shared" si="75"/>
        <v>0</v>
      </c>
      <c r="K234">
        <f t="shared" si="76"/>
        <v>1</v>
      </c>
      <c r="L234">
        <f t="shared" si="78"/>
        <v>-1</v>
      </c>
    </row>
    <row r="235" spans="1:12" x14ac:dyDescent="0.25">
      <c r="A235">
        <v>12</v>
      </c>
      <c r="B235" s="1">
        <v>45809</v>
      </c>
      <c r="C235" t="s">
        <v>15</v>
      </c>
      <c r="D235">
        <v>4</v>
      </c>
      <c r="E235">
        <v>3</v>
      </c>
      <c r="F235" t="s">
        <v>43</v>
      </c>
      <c r="G235">
        <f t="shared" si="79"/>
        <v>7</v>
      </c>
      <c r="H235">
        <f t="shared" si="80"/>
        <v>3</v>
      </c>
      <c r="I235">
        <f t="shared" si="81"/>
        <v>10</v>
      </c>
      <c r="J235">
        <f t="shared" si="75"/>
        <v>0</v>
      </c>
      <c r="K235">
        <f t="shared" si="76"/>
        <v>0</v>
      </c>
      <c r="L235">
        <f t="shared" si="78"/>
        <v>1</v>
      </c>
    </row>
    <row r="236" spans="1:12" x14ac:dyDescent="0.25">
      <c r="A236">
        <v>12</v>
      </c>
      <c r="B236" s="1">
        <v>45809</v>
      </c>
      <c r="C236" t="s">
        <v>15</v>
      </c>
      <c r="D236">
        <v>5</v>
      </c>
      <c r="E236">
        <v>6</v>
      </c>
      <c r="F236" t="s">
        <v>53</v>
      </c>
      <c r="G236">
        <f t="shared" si="79"/>
        <v>6</v>
      </c>
      <c r="H236">
        <f t="shared" si="80"/>
        <v>1</v>
      </c>
      <c r="I236">
        <f t="shared" si="81"/>
        <v>7</v>
      </c>
      <c r="J236">
        <f t="shared" si="75"/>
        <v>0</v>
      </c>
      <c r="K236">
        <f t="shared" si="76"/>
        <v>0</v>
      </c>
      <c r="L236">
        <f t="shared" si="78"/>
        <v>-1</v>
      </c>
    </row>
    <row r="237" spans="1:12" x14ac:dyDescent="0.25">
      <c r="A237">
        <v>12</v>
      </c>
      <c r="B237" s="1">
        <v>45809</v>
      </c>
      <c r="C237" t="s">
        <v>15</v>
      </c>
      <c r="D237">
        <v>6</v>
      </c>
      <c r="E237">
        <v>5</v>
      </c>
      <c r="F237" t="s">
        <v>49</v>
      </c>
      <c r="G237">
        <f t="shared" si="79"/>
        <v>5</v>
      </c>
      <c r="H237">
        <f t="shared" si="80"/>
        <v>0</v>
      </c>
      <c r="I237">
        <f t="shared" si="81"/>
        <v>5</v>
      </c>
      <c r="J237">
        <f t="shared" si="75"/>
        <v>0</v>
      </c>
      <c r="K237">
        <f t="shared" si="76"/>
        <v>0</v>
      </c>
      <c r="L237">
        <f t="shared" si="78"/>
        <v>1</v>
      </c>
    </row>
    <row r="238" spans="1:12" x14ac:dyDescent="0.25">
      <c r="A238">
        <v>12</v>
      </c>
      <c r="B238" s="1">
        <v>45809</v>
      </c>
      <c r="C238" t="s">
        <v>15</v>
      </c>
      <c r="D238">
        <v>7</v>
      </c>
      <c r="E238">
        <v>8</v>
      </c>
      <c r="F238" t="s">
        <v>56</v>
      </c>
      <c r="G238">
        <f t="shared" si="79"/>
        <v>4</v>
      </c>
      <c r="H238">
        <f t="shared" si="80"/>
        <v>0</v>
      </c>
      <c r="I238">
        <f t="shared" si="81"/>
        <v>4</v>
      </c>
      <c r="J238">
        <f t="shared" si="75"/>
        <v>0</v>
      </c>
      <c r="K238">
        <f t="shared" si="76"/>
        <v>0</v>
      </c>
      <c r="L238">
        <f t="shared" si="78"/>
        <v>-1</v>
      </c>
    </row>
    <row r="239" spans="1:12" x14ac:dyDescent="0.25">
      <c r="A239">
        <v>12</v>
      </c>
      <c r="B239" s="1">
        <v>45809</v>
      </c>
      <c r="C239" t="s">
        <v>15</v>
      </c>
      <c r="D239">
        <v>8</v>
      </c>
      <c r="E239">
        <v>9</v>
      </c>
      <c r="F239" t="s">
        <v>62</v>
      </c>
      <c r="G239">
        <f t="shared" si="79"/>
        <v>3</v>
      </c>
      <c r="H239">
        <f t="shared" si="80"/>
        <v>0</v>
      </c>
      <c r="I239">
        <f t="shared" si="81"/>
        <v>3</v>
      </c>
      <c r="J239">
        <f t="shared" si="75"/>
        <v>0</v>
      </c>
      <c r="K239">
        <f t="shared" si="76"/>
        <v>0</v>
      </c>
      <c r="L239">
        <f t="shared" si="78"/>
        <v>-1</v>
      </c>
    </row>
    <row r="240" spans="1:12" x14ac:dyDescent="0.25">
      <c r="A240">
        <v>12</v>
      </c>
      <c r="B240" s="1">
        <v>45809</v>
      </c>
      <c r="C240" t="s">
        <v>15</v>
      </c>
      <c r="D240">
        <v>9</v>
      </c>
      <c r="E240">
        <v>7</v>
      </c>
      <c r="F240" t="s">
        <v>57</v>
      </c>
      <c r="G240">
        <f t="shared" si="79"/>
        <v>2</v>
      </c>
      <c r="H240">
        <f t="shared" si="80"/>
        <v>0</v>
      </c>
      <c r="I240">
        <f t="shared" si="81"/>
        <v>2</v>
      </c>
      <c r="J240">
        <f t="shared" si="75"/>
        <v>0</v>
      </c>
      <c r="K240">
        <f t="shared" si="76"/>
        <v>0</v>
      </c>
      <c r="L240">
        <f t="shared" si="78"/>
        <v>2</v>
      </c>
    </row>
    <row r="241" spans="1:12" x14ac:dyDescent="0.25">
      <c r="A241">
        <v>12</v>
      </c>
      <c r="B241" s="1">
        <v>45809</v>
      </c>
      <c r="C241" t="s">
        <v>15</v>
      </c>
      <c r="D241">
        <v>10</v>
      </c>
      <c r="E241">
        <v>11</v>
      </c>
      <c r="F241" t="s">
        <v>60</v>
      </c>
      <c r="G241">
        <f t="shared" si="79"/>
        <v>1</v>
      </c>
      <c r="H241">
        <f t="shared" si="80"/>
        <v>0</v>
      </c>
      <c r="I241">
        <f t="shared" si="81"/>
        <v>1</v>
      </c>
      <c r="J241">
        <f t="shared" si="75"/>
        <v>0</v>
      </c>
      <c r="K241">
        <f t="shared" si="76"/>
        <v>0</v>
      </c>
      <c r="L241">
        <f t="shared" si="78"/>
        <v>-1</v>
      </c>
    </row>
    <row r="242" spans="1:12" x14ac:dyDescent="0.25">
      <c r="A242">
        <v>13</v>
      </c>
      <c r="B242" s="1">
        <v>45823</v>
      </c>
      <c r="C242" t="s">
        <v>4</v>
      </c>
      <c r="D242">
        <v>1</v>
      </c>
      <c r="E242">
        <v>1</v>
      </c>
      <c r="F242" t="s">
        <v>45</v>
      </c>
      <c r="G242">
        <f t="shared" si="79"/>
        <v>10</v>
      </c>
      <c r="H242">
        <f t="shared" si="80"/>
        <v>9</v>
      </c>
      <c r="I242">
        <f t="shared" si="81"/>
        <v>19</v>
      </c>
      <c r="J242">
        <f t="shared" ref="J242:J261" si="82">COUNTIF(D242,"=1")</f>
        <v>1</v>
      </c>
      <c r="K242">
        <f t="shared" ref="K242:K261" si="83">COUNTIF(D242,"&lt;4")</f>
        <v>1</v>
      </c>
      <c r="L242">
        <f t="shared" si="78"/>
        <v>0</v>
      </c>
    </row>
    <row r="243" spans="1:12" x14ac:dyDescent="0.25">
      <c r="A243">
        <v>13</v>
      </c>
      <c r="B243" s="1">
        <v>45823</v>
      </c>
      <c r="C243" t="s">
        <v>4</v>
      </c>
      <c r="D243">
        <v>2</v>
      </c>
      <c r="E243">
        <v>3</v>
      </c>
      <c r="F243" t="s">
        <v>52</v>
      </c>
      <c r="G243">
        <f t="shared" si="79"/>
        <v>9</v>
      </c>
      <c r="H243">
        <f t="shared" si="80"/>
        <v>7</v>
      </c>
      <c r="I243">
        <f t="shared" si="81"/>
        <v>16</v>
      </c>
      <c r="J243">
        <f t="shared" si="82"/>
        <v>0</v>
      </c>
      <c r="K243">
        <f t="shared" si="83"/>
        <v>1</v>
      </c>
      <c r="L243">
        <f t="shared" si="78"/>
        <v>-1</v>
      </c>
    </row>
    <row r="244" spans="1:12" x14ac:dyDescent="0.25">
      <c r="A244">
        <v>13</v>
      </c>
      <c r="B244" s="1">
        <v>45823</v>
      </c>
      <c r="C244" t="s">
        <v>4</v>
      </c>
      <c r="D244">
        <v>3</v>
      </c>
      <c r="E244">
        <v>5</v>
      </c>
      <c r="F244" t="s">
        <v>48</v>
      </c>
      <c r="G244">
        <f t="shared" si="79"/>
        <v>8</v>
      </c>
      <c r="H244">
        <f t="shared" si="80"/>
        <v>5</v>
      </c>
      <c r="I244">
        <f t="shared" si="81"/>
        <v>13</v>
      </c>
      <c r="J244">
        <f t="shared" si="82"/>
        <v>0</v>
      </c>
      <c r="K244">
        <f t="shared" si="83"/>
        <v>1</v>
      </c>
      <c r="L244">
        <f t="shared" si="78"/>
        <v>-2</v>
      </c>
    </row>
    <row r="245" spans="1:12" x14ac:dyDescent="0.25">
      <c r="A245">
        <v>13</v>
      </c>
      <c r="B245" s="1">
        <v>45823</v>
      </c>
      <c r="C245" t="s">
        <v>4</v>
      </c>
      <c r="D245">
        <v>4</v>
      </c>
      <c r="E245">
        <v>4</v>
      </c>
      <c r="F245" t="s">
        <v>46</v>
      </c>
      <c r="G245">
        <f t="shared" si="79"/>
        <v>7</v>
      </c>
      <c r="H245">
        <f t="shared" si="80"/>
        <v>3</v>
      </c>
      <c r="I245">
        <f t="shared" si="81"/>
        <v>10</v>
      </c>
      <c r="J245">
        <f t="shared" si="82"/>
        <v>0</v>
      </c>
      <c r="K245">
        <f t="shared" si="83"/>
        <v>0</v>
      </c>
      <c r="L245">
        <f t="shared" si="78"/>
        <v>0</v>
      </c>
    </row>
    <row r="246" spans="1:12" x14ac:dyDescent="0.25">
      <c r="A246">
        <v>13</v>
      </c>
      <c r="B246" s="1">
        <v>45823</v>
      </c>
      <c r="C246" t="s">
        <v>4</v>
      </c>
      <c r="D246">
        <v>5</v>
      </c>
      <c r="E246">
        <v>6</v>
      </c>
      <c r="F246" t="s">
        <v>51</v>
      </c>
      <c r="G246">
        <f t="shared" si="79"/>
        <v>6</v>
      </c>
      <c r="H246">
        <f t="shared" si="80"/>
        <v>1</v>
      </c>
      <c r="I246">
        <f t="shared" si="81"/>
        <v>7</v>
      </c>
      <c r="J246">
        <f t="shared" si="82"/>
        <v>0</v>
      </c>
      <c r="K246">
        <f t="shared" si="83"/>
        <v>0</v>
      </c>
      <c r="L246">
        <f>D246-E246</f>
        <v>-1</v>
      </c>
    </row>
    <row r="247" spans="1:12" x14ac:dyDescent="0.25">
      <c r="A247">
        <v>13</v>
      </c>
      <c r="B247" s="1">
        <v>45823</v>
      </c>
      <c r="C247" t="s">
        <v>4</v>
      </c>
      <c r="D247">
        <v>6</v>
      </c>
      <c r="E247">
        <v>2</v>
      </c>
      <c r="F247" t="s">
        <v>44</v>
      </c>
      <c r="G247">
        <f t="shared" si="79"/>
        <v>5</v>
      </c>
      <c r="H247">
        <f t="shared" si="80"/>
        <v>0</v>
      </c>
      <c r="I247">
        <f t="shared" si="81"/>
        <v>5</v>
      </c>
      <c r="J247">
        <f t="shared" si="82"/>
        <v>0</v>
      </c>
      <c r="K247">
        <f t="shared" si="83"/>
        <v>0</v>
      </c>
      <c r="L247">
        <f t="shared" ref="L247:L249" si="84">D247-E247</f>
        <v>4</v>
      </c>
    </row>
    <row r="248" spans="1:12" x14ac:dyDescent="0.25">
      <c r="A248">
        <v>13</v>
      </c>
      <c r="B248" s="1">
        <v>45823</v>
      </c>
      <c r="C248" t="s">
        <v>4</v>
      </c>
      <c r="D248">
        <v>7</v>
      </c>
      <c r="E248">
        <v>8</v>
      </c>
      <c r="F248" t="s">
        <v>58</v>
      </c>
      <c r="G248">
        <f t="shared" si="79"/>
        <v>4</v>
      </c>
      <c r="H248">
        <f t="shared" si="80"/>
        <v>0</v>
      </c>
      <c r="I248">
        <f t="shared" si="81"/>
        <v>4</v>
      </c>
      <c r="J248">
        <f t="shared" si="82"/>
        <v>0</v>
      </c>
      <c r="K248">
        <f t="shared" si="83"/>
        <v>0</v>
      </c>
      <c r="L248">
        <f t="shared" si="84"/>
        <v>-1</v>
      </c>
    </row>
    <row r="249" spans="1:12" x14ac:dyDescent="0.25">
      <c r="A249">
        <v>13</v>
      </c>
      <c r="B249" s="1">
        <v>45823</v>
      </c>
      <c r="C249" t="s">
        <v>4</v>
      </c>
      <c r="D249">
        <v>8</v>
      </c>
      <c r="E249">
        <v>9</v>
      </c>
      <c r="F249" t="s">
        <v>59</v>
      </c>
      <c r="G249">
        <f t="shared" si="79"/>
        <v>3</v>
      </c>
      <c r="H249">
        <f t="shared" si="80"/>
        <v>0</v>
      </c>
      <c r="I249">
        <f t="shared" si="81"/>
        <v>3</v>
      </c>
      <c r="J249">
        <f t="shared" si="82"/>
        <v>0</v>
      </c>
      <c r="K249">
        <f t="shared" si="83"/>
        <v>0</v>
      </c>
      <c r="L249">
        <f t="shared" si="84"/>
        <v>-1</v>
      </c>
    </row>
    <row r="250" spans="1:12" x14ac:dyDescent="0.25">
      <c r="A250">
        <v>13</v>
      </c>
      <c r="B250" s="1">
        <v>45823</v>
      </c>
      <c r="C250" t="s">
        <v>4</v>
      </c>
      <c r="D250">
        <v>9</v>
      </c>
      <c r="E250">
        <v>7</v>
      </c>
      <c r="F250" t="s">
        <v>54</v>
      </c>
      <c r="G250">
        <f t="shared" si="79"/>
        <v>2</v>
      </c>
      <c r="H250">
        <f t="shared" si="80"/>
        <v>0</v>
      </c>
      <c r="I250">
        <f t="shared" si="81"/>
        <v>2</v>
      </c>
      <c r="J250">
        <f t="shared" si="82"/>
        <v>0</v>
      </c>
      <c r="K250">
        <f t="shared" si="83"/>
        <v>0</v>
      </c>
      <c r="L250">
        <f>D250-E250</f>
        <v>2</v>
      </c>
    </row>
    <row r="251" spans="1:12" x14ac:dyDescent="0.25">
      <c r="A251">
        <v>13</v>
      </c>
      <c r="B251" s="1">
        <v>45823</v>
      </c>
      <c r="C251" t="s">
        <v>4</v>
      </c>
      <c r="D251">
        <v>10</v>
      </c>
      <c r="E251">
        <v>11</v>
      </c>
      <c r="F251" t="s">
        <v>61</v>
      </c>
      <c r="G251">
        <f t="shared" si="79"/>
        <v>1</v>
      </c>
      <c r="H251">
        <f t="shared" si="80"/>
        <v>0</v>
      </c>
      <c r="I251">
        <f t="shared" si="81"/>
        <v>1</v>
      </c>
      <c r="J251">
        <f t="shared" si="82"/>
        <v>0</v>
      </c>
      <c r="K251">
        <f t="shared" si="83"/>
        <v>0</v>
      </c>
      <c r="L251">
        <f t="shared" ref="L251:L265" si="85">D251-E251</f>
        <v>-1</v>
      </c>
    </row>
    <row r="252" spans="1:12" x14ac:dyDescent="0.25">
      <c r="A252">
        <v>13</v>
      </c>
      <c r="B252" s="1">
        <v>45823</v>
      </c>
      <c r="C252" t="s">
        <v>15</v>
      </c>
      <c r="D252">
        <v>1</v>
      </c>
      <c r="E252">
        <v>1</v>
      </c>
      <c r="F252" t="s">
        <v>47</v>
      </c>
      <c r="G252">
        <f t="shared" si="79"/>
        <v>10</v>
      </c>
      <c r="H252">
        <f t="shared" si="80"/>
        <v>9</v>
      </c>
      <c r="I252">
        <f t="shared" si="81"/>
        <v>19</v>
      </c>
      <c r="J252">
        <f t="shared" si="82"/>
        <v>1</v>
      </c>
      <c r="K252">
        <f t="shared" si="83"/>
        <v>1</v>
      </c>
      <c r="L252">
        <f t="shared" si="85"/>
        <v>0</v>
      </c>
    </row>
    <row r="253" spans="1:12" x14ac:dyDescent="0.25">
      <c r="A253">
        <v>13</v>
      </c>
      <c r="B253" s="1">
        <v>45823</v>
      </c>
      <c r="C253" t="s">
        <v>15</v>
      </c>
      <c r="D253">
        <v>2</v>
      </c>
      <c r="E253">
        <v>2</v>
      </c>
      <c r="F253" t="s">
        <v>55</v>
      </c>
      <c r="G253">
        <f t="shared" si="79"/>
        <v>9</v>
      </c>
      <c r="H253">
        <f t="shared" si="80"/>
        <v>7</v>
      </c>
      <c r="I253">
        <f t="shared" si="81"/>
        <v>16</v>
      </c>
      <c r="J253">
        <f t="shared" si="82"/>
        <v>0</v>
      </c>
      <c r="K253">
        <f t="shared" si="83"/>
        <v>1</v>
      </c>
      <c r="L253">
        <f t="shared" si="85"/>
        <v>0</v>
      </c>
    </row>
    <row r="254" spans="1:12" x14ac:dyDescent="0.25">
      <c r="A254">
        <v>13</v>
      </c>
      <c r="B254" s="1">
        <v>45823</v>
      </c>
      <c r="C254" t="s">
        <v>15</v>
      </c>
      <c r="D254">
        <v>3</v>
      </c>
      <c r="E254">
        <v>3</v>
      </c>
      <c r="F254" t="s">
        <v>50</v>
      </c>
      <c r="G254">
        <f t="shared" ref="G254:G273" si="86">11-D254</f>
        <v>8</v>
      </c>
      <c r="H254">
        <f t="shared" ref="H254:H273" si="87">IF(D254&lt;6,11-2*D254,0)</f>
        <v>5</v>
      </c>
      <c r="I254">
        <f t="shared" ref="I254:I273" si="88">G254+H254</f>
        <v>13</v>
      </c>
      <c r="J254">
        <f t="shared" si="82"/>
        <v>0</v>
      </c>
      <c r="K254">
        <f t="shared" si="83"/>
        <v>1</v>
      </c>
      <c r="L254">
        <f t="shared" si="85"/>
        <v>0</v>
      </c>
    </row>
    <row r="255" spans="1:12" x14ac:dyDescent="0.25">
      <c r="A255">
        <v>13</v>
      </c>
      <c r="B255" s="1">
        <v>45823</v>
      </c>
      <c r="C255" t="s">
        <v>15</v>
      </c>
      <c r="D255">
        <v>4</v>
      </c>
      <c r="E255">
        <v>5</v>
      </c>
      <c r="F255" t="s">
        <v>53</v>
      </c>
      <c r="G255">
        <f t="shared" si="86"/>
        <v>7</v>
      </c>
      <c r="H255">
        <f t="shared" si="87"/>
        <v>3</v>
      </c>
      <c r="I255">
        <f t="shared" si="88"/>
        <v>10</v>
      </c>
      <c r="J255">
        <f t="shared" si="82"/>
        <v>0</v>
      </c>
      <c r="K255">
        <f t="shared" si="83"/>
        <v>0</v>
      </c>
      <c r="L255">
        <f t="shared" si="85"/>
        <v>-1</v>
      </c>
    </row>
    <row r="256" spans="1:12" x14ac:dyDescent="0.25">
      <c r="A256">
        <v>13</v>
      </c>
      <c r="B256" s="1">
        <v>45823</v>
      </c>
      <c r="C256" t="s">
        <v>15</v>
      </c>
      <c r="D256">
        <v>5</v>
      </c>
      <c r="E256">
        <v>7</v>
      </c>
      <c r="F256" t="s">
        <v>56</v>
      </c>
      <c r="G256">
        <f t="shared" si="86"/>
        <v>6</v>
      </c>
      <c r="H256">
        <f t="shared" si="87"/>
        <v>1</v>
      </c>
      <c r="I256">
        <f t="shared" si="88"/>
        <v>7</v>
      </c>
      <c r="J256">
        <f t="shared" si="82"/>
        <v>0</v>
      </c>
      <c r="K256">
        <f t="shared" si="83"/>
        <v>0</v>
      </c>
      <c r="L256">
        <f t="shared" si="85"/>
        <v>-2</v>
      </c>
    </row>
    <row r="257" spans="1:12" x14ac:dyDescent="0.25">
      <c r="A257">
        <v>13</v>
      </c>
      <c r="B257" s="1">
        <v>45823</v>
      </c>
      <c r="C257" t="s">
        <v>15</v>
      </c>
      <c r="D257">
        <v>6</v>
      </c>
      <c r="E257">
        <v>8</v>
      </c>
      <c r="F257" t="s">
        <v>62</v>
      </c>
      <c r="G257">
        <f t="shared" si="86"/>
        <v>5</v>
      </c>
      <c r="H257">
        <f t="shared" si="87"/>
        <v>0</v>
      </c>
      <c r="I257">
        <f t="shared" si="88"/>
        <v>5</v>
      </c>
      <c r="J257">
        <f t="shared" si="82"/>
        <v>0</v>
      </c>
      <c r="K257">
        <f t="shared" si="83"/>
        <v>0</v>
      </c>
      <c r="L257">
        <f t="shared" si="85"/>
        <v>-2</v>
      </c>
    </row>
    <row r="258" spans="1:12" x14ac:dyDescent="0.25">
      <c r="A258">
        <v>13</v>
      </c>
      <c r="B258" s="1">
        <v>45823</v>
      </c>
      <c r="C258" t="s">
        <v>15</v>
      </c>
      <c r="D258">
        <v>7</v>
      </c>
      <c r="E258">
        <v>4</v>
      </c>
      <c r="F258" t="s">
        <v>43</v>
      </c>
      <c r="G258">
        <f t="shared" si="86"/>
        <v>4</v>
      </c>
      <c r="H258">
        <f t="shared" si="87"/>
        <v>0</v>
      </c>
      <c r="I258">
        <f t="shared" si="88"/>
        <v>4</v>
      </c>
      <c r="J258">
        <f t="shared" si="82"/>
        <v>0</v>
      </c>
      <c r="K258">
        <f t="shared" si="83"/>
        <v>0</v>
      </c>
      <c r="L258">
        <f t="shared" si="85"/>
        <v>3</v>
      </c>
    </row>
    <row r="259" spans="1:12" x14ac:dyDescent="0.25">
      <c r="A259">
        <v>13</v>
      </c>
      <c r="B259" s="1">
        <v>45823</v>
      </c>
      <c r="C259" t="s">
        <v>15</v>
      </c>
      <c r="D259">
        <v>8</v>
      </c>
      <c r="E259">
        <v>10</v>
      </c>
      <c r="F259" t="s">
        <v>60</v>
      </c>
      <c r="G259">
        <f t="shared" si="86"/>
        <v>3</v>
      </c>
      <c r="H259">
        <f t="shared" si="87"/>
        <v>0</v>
      </c>
      <c r="I259">
        <f t="shared" si="88"/>
        <v>3</v>
      </c>
      <c r="J259">
        <f t="shared" si="82"/>
        <v>0</v>
      </c>
      <c r="K259">
        <f t="shared" si="83"/>
        <v>0</v>
      </c>
      <c r="L259">
        <f t="shared" si="85"/>
        <v>-2</v>
      </c>
    </row>
    <row r="260" spans="1:12" x14ac:dyDescent="0.25">
      <c r="A260">
        <v>13</v>
      </c>
      <c r="B260" s="1">
        <v>45823</v>
      </c>
      <c r="C260" t="s">
        <v>15</v>
      </c>
      <c r="D260">
        <v>9</v>
      </c>
      <c r="E260">
        <v>6</v>
      </c>
      <c r="F260" t="s">
        <v>49</v>
      </c>
      <c r="G260">
        <f t="shared" si="86"/>
        <v>2</v>
      </c>
      <c r="H260">
        <f t="shared" si="87"/>
        <v>0</v>
      </c>
      <c r="I260">
        <f t="shared" si="88"/>
        <v>2</v>
      </c>
      <c r="J260">
        <f t="shared" si="82"/>
        <v>0</v>
      </c>
      <c r="K260">
        <f t="shared" si="83"/>
        <v>0</v>
      </c>
      <c r="L260">
        <f t="shared" si="85"/>
        <v>3</v>
      </c>
    </row>
    <row r="261" spans="1:12" x14ac:dyDescent="0.25">
      <c r="A261">
        <v>13</v>
      </c>
      <c r="B261" s="1">
        <v>45823</v>
      </c>
      <c r="C261" t="s">
        <v>15</v>
      </c>
      <c r="D261">
        <v>10</v>
      </c>
      <c r="E261">
        <v>9</v>
      </c>
      <c r="F261" t="s">
        <v>57</v>
      </c>
      <c r="G261">
        <f t="shared" si="86"/>
        <v>1</v>
      </c>
      <c r="H261">
        <f t="shared" si="87"/>
        <v>0</v>
      </c>
      <c r="I261">
        <f t="shared" si="88"/>
        <v>1</v>
      </c>
      <c r="J261">
        <f t="shared" si="82"/>
        <v>0</v>
      </c>
      <c r="K261">
        <f t="shared" si="83"/>
        <v>0</v>
      </c>
      <c r="L261">
        <f t="shared" si="85"/>
        <v>1</v>
      </c>
    </row>
    <row r="262" spans="1:12" x14ac:dyDescent="0.25">
      <c r="A262">
        <v>14</v>
      </c>
      <c r="B262" s="1">
        <v>45837</v>
      </c>
      <c r="C262" t="s">
        <v>4</v>
      </c>
      <c r="D262">
        <v>1</v>
      </c>
      <c r="E262">
        <v>2</v>
      </c>
      <c r="F262" t="s">
        <v>52</v>
      </c>
      <c r="G262">
        <f t="shared" si="86"/>
        <v>10</v>
      </c>
      <c r="H262">
        <f t="shared" si="87"/>
        <v>9</v>
      </c>
      <c r="I262">
        <f t="shared" si="88"/>
        <v>19</v>
      </c>
      <c r="J262">
        <f t="shared" ref="J262:J281" si="89">COUNTIF(D262,"=1")</f>
        <v>1</v>
      </c>
      <c r="K262">
        <f t="shared" ref="K262:K281" si="90">COUNTIF(D262,"&lt;4")</f>
        <v>1</v>
      </c>
      <c r="L262">
        <f t="shared" si="85"/>
        <v>-1</v>
      </c>
    </row>
    <row r="263" spans="1:12" x14ac:dyDescent="0.25">
      <c r="A263">
        <v>14</v>
      </c>
      <c r="B263" s="1">
        <v>45837</v>
      </c>
      <c r="C263" t="s">
        <v>4</v>
      </c>
      <c r="D263">
        <v>2</v>
      </c>
      <c r="E263">
        <v>1</v>
      </c>
      <c r="F263" t="s">
        <v>45</v>
      </c>
      <c r="G263">
        <f t="shared" si="86"/>
        <v>9</v>
      </c>
      <c r="H263">
        <f t="shared" si="87"/>
        <v>7</v>
      </c>
      <c r="I263">
        <f t="shared" si="88"/>
        <v>16</v>
      </c>
      <c r="J263">
        <f t="shared" si="89"/>
        <v>0</v>
      </c>
      <c r="K263">
        <f t="shared" si="90"/>
        <v>1</v>
      </c>
      <c r="L263">
        <f t="shared" si="85"/>
        <v>1</v>
      </c>
    </row>
    <row r="264" spans="1:12" x14ac:dyDescent="0.25">
      <c r="A264">
        <v>14</v>
      </c>
      <c r="B264" s="1">
        <v>45837</v>
      </c>
      <c r="C264" t="s">
        <v>4</v>
      </c>
      <c r="D264">
        <v>3</v>
      </c>
      <c r="E264">
        <v>3</v>
      </c>
      <c r="F264" t="s">
        <v>48</v>
      </c>
      <c r="G264">
        <f t="shared" si="86"/>
        <v>8</v>
      </c>
      <c r="H264">
        <f t="shared" si="87"/>
        <v>5</v>
      </c>
      <c r="I264">
        <f t="shared" si="88"/>
        <v>13</v>
      </c>
      <c r="J264">
        <f t="shared" si="89"/>
        <v>0</v>
      </c>
      <c r="K264">
        <f t="shared" si="90"/>
        <v>1</v>
      </c>
      <c r="L264">
        <f t="shared" si="85"/>
        <v>0</v>
      </c>
    </row>
    <row r="265" spans="1:12" x14ac:dyDescent="0.25">
      <c r="A265">
        <v>14</v>
      </c>
      <c r="B265" s="1">
        <v>45837</v>
      </c>
      <c r="C265" t="s">
        <v>4</v>
      </c>
      <c r="D265">
        <v>4</v>
      </c>
      <c r="E265">
        <v>5</v>
      </c>
      <c r="F265" t="s">
        <v>51</v>
      </c>
      <c r="G265">
        <f t="shared" si="86"/>
        <v>7</v>
      </c>
      <c r="H265">
        <f t="shared" si="87"/>
        <v>3</v>
      </c>
      <c r="I265">
        <f t="shared" si="88"/>
        <v>10</v>
      </c>
      <c r="J265">
        <f t="shared" si="89"/>
        <v>0</v>
      </c>
      <c r="K265">
        <f t="shared" si="90"/>
        <v>0</v>
      </c>
      <c r="L265">
        <f t="shared" si="85"/>
        <v>-1</v>
      </c>
    </row>
    <row r="266" spans="1:12" x14ac:dyDescent="0.25">
      <c r="A266">
        <v>14</v>
      </c>
      <c r="B266" s="1">
        <v>45837</v>
      </c>
      <c r="C266" t="s">
        <v>4</v>
      </c>
      <c r="D266">
        <v>5</v>
      </c>
      <c r="E266">
        <v>7</v>
      </c>
      <c r="F266" t="s">
        <v>58</v>
      </c>
      <c r="G266">
        <f t="shared" si="86"/>
        <v>6</v>
      </c>
      <c r="H266">
        <f t="shared" si="87"/>
        <v>1</v>
      </c>
      <c r="I266">
        <f t="shared" si="88"/>
        <v>7</v>
      </c>
      <c r="J266">
        <f t="shared" si="89"/>
        <v>0</v>
      </c>
      <c r="K266">
        <f t="shared" si="90"/>
        <v>0</v>
      </c>
      <c r="L266">
        <f>D266-E266</f>
        <v>-2</v>
      </c>
    </row>
    <row r="267" spans="1:12" x14ac:dyDescent="0.25">
      <c r="A267">
        <v>14</v>
      </c>
      <c r="B267" s="1">
        <v>45837</v>
      </c>
      <c r="C267" t="s">
        <v>4</v>
      </c>
      <c r="D267">
        <v>6</v>
      </c>
      <c r="E267">
        <v>8</v>
      </c>
      <c r="F267" t="s">
        <v>59</v>
      </c>
      <c r="G267">
        <f t="shared" si="86"/>
        <v>5</v>
      </c>
      <c r="H267">
        <f t="shared" si="87"/>
        <v>0</v>
      </c>
      <c r="I267">
        <f t="shared" si="88"/>
        <v>5</v>
      </c>
      <c r="J267">
        <f t="shared" si="89"/>
        <v>0</v>
      </c>
      <c r="K267">
        <f t="shared" si="90"/>
        <v>0</v>
      </c>
      <c r="L267">
        <f t="shared" ref="L267:L269" si="91">D267-E267</f>
        <v>-2</v>
      </c>
    </row>
    <row r="268" spans="1:12" x14ac:dyDescent="0.25">
      <c r="A268">
        <v>14</v>
      </c>
      <c r="B268" s="1">
        <v>45837</v>
      </c>
      <c r="C268" t="s">
        <v>4</v>
      </c>
      <c r="D268">
        <v>7</v>
      </c>
      <c r="E268">
        <v>4</v>
      </c>
      <c r="F268" t="s">
        <v>46</v>
      </c>
      <c r="G268">
        <f t="shared" si="86"/>
        <v>4</v>
      </c>
      <c r="H268">
        <f t="shared" si="87"/>
        <v>0</v>
      </c>
      <c r="I268">
        <f t="shared" si="88"/>
        <v>4</v>
      </c>
      <c r="J268">
        <f t="shared" si="89"/>
        <v>0</v>
      </c>
      <c r="K268">
        <f t="shared" si="90"/>
        <v>0</v>
      </c>
      <c r="L268">
        <f t="shared" si="91"/>
        <v>3</v>
      </c>
    </row>
    <row r="269" spans="1:12" x14ac:dyDescent="0.25">
      <c r="A269">
        <v>14</v>
      </c>
      <c r="B269" s="1">
        <v>45837</v>
      </c>
      <c r="C269" t="s">
        <v>4</v>
      </c>
      <c r="D269">
        <v>8</v>
      </c>
      <c r="E269">
        <v>10</v>
      </c>
      <c r="F269" t="s">
        <v>61</v>
      </c>
      <c r="G269">
        <f t="shared" si="86"/>
        <v>3</v>
      </c>
      <c r="H269">
        <f t="shared" si="87"/>
        <v>0</v>
      </c>
      <c r="I269">
        <f t="shared" si="88"/>
        <v>3</v>
      </c>
      <c r="J269">
        <f t="shared" si="89"/>
        <v>0</v>
      </c>
      <c r="K269">
        <f t="shared" si="90"/>
        <v>0</v>
      </c>
      <c r="L269">
        <f t="shared" si="91"/>
        <v>-2</v>
      </c>
    </row>
    <row r="270" spans="1:12" x14ac:dyDescent="0.25">
      <c r="A270">
        <v>14</v>
      </c>
      <c r="B270" s="1">
        <v>45837</v>
      </c>
      <c r="C270" t="s">
        <v>4</v>
      </c>
      <c r="D270">
        <v>9</v>
      </c>
      <c r="E270">
        <v>9</v>
      </c>
      <c r="F270" t="s">
        <v>54</v>
      </c>
      <c r="G270">
        <f t="shared" si="86"/>
        <v>2</v>
      </c>
      <c r="H270">
        <f t="shared" si="87"/>
        <v>0</v>
      </c>
      <c r="I270">
        <f t="shared" si="88"/>
        <v>2</v>
      </c>
      <c r="J270">
        <f t="shared" si="89"/>
        <v>0</v>
      </c>
      <c r="K270">
        <f t="shared" si="90"/>
        <v>0</v>
      </c>
      <c r="L270">
        <f>D270-E270</f>
        <v>0</v>
      </c>
    </row>
    <row r="271" spans="1:12" x14ac:dyDescent="0.25">
      <c r="A271">
        <v>14</v>
      </c>
      <c r="B271" s="1">
        <v>45837</v>
      </c>
      <c r="C271" t="s">
        <v>4</v>
      </c>
      <c r="D271">
        <v>10</v>
      </c>
      <c r="E271">
        <v>11</v>
      </c>
      <c r="F271" t="s">
        <v>63</v>
      </c>
      <c r="G271">
        <f t="shared" si="86"/>
        <v>1</v>
      </c>
      <c r="H271">
        <f t="shared" si="87"/>
        <v>0</v>
      </c>
      <c r="I271">
        <f t="shared" si="88"/>
        <v>1</v>
      </c>
      <c r="J271">
        <f t="shared" si="89"/>
        <v>0</v>
      </c>
      <c r="K271">
        <f t="shared" si="90"/>
        <v>0</v>
      </c>
      <c r="L271">
        <f t="shared" ref="L271:L285" si="92">D271-E271</f>
        <v>-1</v>
      </c>
    </row>
    <row r="272" spans="1:12" x14ac:dyDescent="0.25">
      <c r="A272">
        <v>14</v>
      </c>
      <c r="B272" s="1">
        <v>45837</v>
      </c>
      <c r="C272" t="s">
        <v>15</v>
      </c>
      <c r="D272">
        <v>1</v>
      </c>
      <c r="E272">
        <v>2</v>
      </c>
      <c r="F272" t="s">
        <v>55</v>
      </c>
      <c r="G272">
        <f t="shared" si="86"/>
        <v>10</v>
      </c>
      <c r="H272">
        <f t="shared" si="87"/>
        <v>9</v>
      </c>
      <c r="I272">
        <f t="shared" si="88"/>
        <v>19</v>
      </c>
      <c r="J272">
        <f t="shared" si="89"/>
        <v>1</v>
      </c>
      <c r="K272">
        <f t="shared" si="90"/>
        <v>1</v>
      </c>
      <c r="L272">
        <f t="shared" si="92"/>
        <v>-1</v>
      </c>
    </row>
    <row r="273" spans="1:12" x14ac:dyDescent="0.25">
      <c r="A273">
        <v>14</v>
      </c>
      <c r="B273" s="1">
        <v>45837</v>
      </c>
      <c r="C273" t="s">
        <v>15</v>
      </c>
      <c r="D273">
        <v>2</v>
      </c>
      <c r="E273">
        <v>1</v>
      </c>
      <c r="F273" t="s">
        <v>47</v>
      </c>
      <c r="G273">
        <f t="shared" si="86"/>
        <v>9</v>
      </c>
      <c r="H273">
        <f t="shared" si="87"/>
        <v>7</v>
      </c>
      <c r="I273">
        <f t="shared" si="88"/>
        <v>16</v>
      </c>
      <c r="J273">
        <f t="shared" si="89"/>
        <v>0</v>
      </c>
      <c r="K273">
        <f t="shared" si="90"/>
        <v>1</v>
      </c>
      <c r="L273">
        <f t="shared" si="92"/>
        <v>1</v>
      </c>
    </row>
    <row r="274" spans="1:12" x14ac:dyDescent="0.25">
      <c r="A274">
        <v>14</v>
      </c>
      <c r="B274" s="1">
        <v>45837</v>
      </c>
      <c r="C274" t="s">
        <v>15</v>
      </c>
      <c r="D274">
        <v>3</v>
      </c>
      <c r="E274">
        <v>4</v>
      </c>
      <c r="F274" t="s">
        <v>53</v>
      </c>
      <c r="G274">
        <f t="shared" ref="G274:G293" si="93">11-D274</f>
        <v>8</v>
      </c>
      <c r="H274">
        <f t="shared" ref="H274:H293" si="94">IF(D274&lt;6,11-2*D274,0)</f>
        <v>5</v>
      </c>
      <c r="I274">
        <f t="shared" ref="I274:I293" si="95">G274+H274</f>
        <v>13</v>
      </c>
      <c r="J274">
        <f t="shared" si="89"/>
        <v>0</v>
      </c>
      <c r="K274">
        <f t="shared" si="90"/>
        <v>1</v>
      </c>
      <c r="L274">
        <f t="shared" si="92"/>
        <v>-1</v>
      </c>
    </row>
    <row r="275" spans="1:12" x14ac:dyDescent="0.25">
      <c r="A275">
        <v>14</v>
      </c>
      <c r="B275" s="1">
        <v>45837</v>
      </c>
      <c r="C275" t="s">
        <v>15</v>
      </c>
      <c r="D275">
        <v>4</v>
      </c>
      <c r="E275">
        <v>3</v>
      </c>
      <c r="F275" t="s">
        <v>50</v>
      </c>
      <c r="G275">
        <f t="shared" si="93"/>
        <v>7</v>
      </c>
      <c r="H275">
        <f t="shared" si="94"/>
        <v>3</v>
      </c>
      <c r="I275">
        <f t="shared" si="95"/>
        <v>10</v>
      </c>
      <c r="J275">
        <f t="shared" si="89"/>
        <v>0</v>
      </c>
      <c r="K275">
        <f t="shared" si="90"/>
        <v>0</v>
      </c>
      <c r="L275">
        <f t="shared" si="92"/>
        <v>1</v>
      </c>
    </row>
    <row r="276" spans="1:12" x14ac:dyDescent="0.25">
      <c r="A276">
        <v>14</v>
      </c>
      <c r="B276" s="1">
        <v>45837</v>
      </c>
      <c r="C276" t="s">
        <v>15</v>
      </c>
      <c r="D276">
        <v>5</v>
      </c>
      <c r="E276">
        <v>5</v>
      </c>
      <c r="F276" t="s">
        <v>56</v>
      </c>
      <c r="G276">
        <f t="shared" si="93"/>
        <v>6</v>
      </c>
      <c r="H276">
        <f t="shared" si="94"/>
        <v>1</v>
      </c>
      <c r="I276">
        <f t="shared" si="95"/>
        <v>7</v>
      </c>
      <c r="J276">
        <f t="shared" si="89"/>
        <v>0</v>
      </c>
      <c r="K276">
        <f t="shared" si="90"/>
        <v>0</v>
      </c>
      <c r="L276">
        <f t="shared" si="92"/>
        <v>0</v>
      </c>
    </row>
    <row r="277" spans="1:12" x14ac:dyDescent="0.25">
      <c r="A277">
        <v>14</v>
      </c>
      <c r="B277" s="1">
        <v>45837</v>
      </c>
      <c r="C277" t="s">
        <v>15</v>
      </c>
      <c r="D277">
        <v>6</v>
      </c>
      <c r="E277">
        <v>6</v>
      </c>
      <c r="F277" t="s">
        <v>62</v>
      </c>
      <c r="G277">
        <f t="shared" si="93"/>
        <v>5</v>
      </c>
      <c r="H277">
        <f t="shared" si="94"/>
        <v>0</v>
      </c>
      <c r="I277">
        <f t="shared" si="95"/>
        <v>5</v>
      </c>
      <c r="J277">
        <f t="shared" si="89"/>
        <v>0</v>
      </c>
      <c r="K277">
        <f t="shared" si="90"/>
        <v>0</v>
      </c>
      <c r="L277">
        <f t="shared" si="92"/>
        <v>0</v>
      </c>
    </row>
    <row r="278" spans="1:12" x14ac:dyDescent="0.25">
      <c r="A278">
        <v>14</v>
      </c>
      <c r="B278" s="1">
        <v>45837</v>
      </c>
      <c r="C278" t="s">
        <v>15</v>
      </c>
      <c r="D278">
        <v>7</v>
      </c>
      <c r="E278">
        <v>8</v>
      </c>
      <c r="F278" t="s">
        <v>60</v>
      </c>
      <c r="G278">
        <f t="shared" si="93"/>
        <v>4</v>
      </c>
      <c r="H278">
        <f t="shared" si="94"/>
        <v>0</v>
      </c>
      <c r="I278">
        <f t="shared" si="95"/>
        <v>4</v>
      </c>
      <c r="J278">
        <f t="shared" si="89"/>
        <v>0</v>
      </c>
      <c r="K278">
        <f t="shared" si="90"/>
        <v>0</v>
      </c>
      <c r="L278">
        <f t="shared" si="92"/>
        <v>-1</v>
      </c>
    </row>
    <row r="279" spans="1:12" x14ac:dyDescent="0.25">
      <c r="A279">
        <v>14</v>
      </c>
      <c r="B279" s="1">
        <v>45837</v>
      </c>
      <c r="C279" t="s">
        <v>15</v>
      </c>
      <c r="D279">
        <v>8</v>
      </c>
      <c r="E279">
        <v>11</v>
      </c>
      <c r="F279" t="s">
        <v>64</v>
      </c>
      <c r="G279">
        <f t="shared" si="93"/>
        <v>3</v>
      </c>
      <c r="H279">
        <f t="shared" si="94"/>
        <v>0</v>
      </c>
      <c r="I279">
        <f t="shared" si="95"/>
        <v>3</v>
      </c>
      <c r="J279">
        <f t="shared" si="89"/>
        <v>0</v>
      </c>
      <c r="K279">
        <f t="shared" si="90"/>
        <v>0</v>
      </c>
      <c r="L279">
        <f t="shared" si="92"/>
        <v>-3</v>
      </c>
    </row>
    <row r="280" spans="1:12" x14ac:dyDescent="0.25">
      <c r="A280">
        <v>14</v>
      </c>
      <c r="B280" s="1">
        <v>45837</v>
      </c>
      <c r="C280" t="s">
        <v>15</v>
      </c>
      <c r="D280">
        <v>9</v>
      </c>
      <c r="E280">
        <v>7</v>
      </c>
      <c r="F280" t="s">
        <v>43</v>
      </c>
      <c r="G280">
        <f t="shared" si="93"/>
        <v>2</v>
      </c>
      <c r="H280">
        <f t="shared" si="94"/>
        <v>0</v>
      </c>
      <c r="I280">
        <f t="shared" si="95"/>
        <v>2</v>
      </c>
      <c r="J280">
        <f t="shared" si="89"/>
        <v>0</v>
      </c>
      <c r="K280">
        <f t="shared" si="90"/>
        <v>0</v>
      </c>
      <c r="L280">
        <f t="shared" si="92"/>
        <v>2</v>
      </c>
    </row>
    <row r="281" spans="1:12" x14ac:dyDescent="0.25">
      <c r="A281">
        <v>14</v>
      </c>
      <c r="B281" s="1">
        <v>45837</v>
      </c>
      <c r="C281" t="s">
        <v>15</v>
      </c>
      <c r="D281">
        <v>10</v>
      </c>
      <c r="E281">
        <v>11</v>
      </c>
      <c r="F281" t="s">
        <v>65</v>
      </c>
      <c r="G281">
        <f t="shared" si="93"/>
        <v>1</v>
      </c>
      <c r="H281">
        <f t="shared" si="94"/>
        <v>0</v>
      </c>
      <c r="I281">
        <f t="shared" si="95"/>
        <v>1</v>
      </c>
      <c r="J281">
        <f t="shared" si="89"/>
        <v>0</v>
      </c>
      <c r="K281">
        <f t="shared" si="90"/>
        <v>0</v>
      </c>
      <c r="L281">
        <f t="shared" si="92"/>
        <v>-1</v>
      </c>
    </row>
    <row r="282" spans="1:12" x14ac:dyDescent="0.25">
      <c r="A282">
        <v>15</v>
      </c>
      <c r="B282" s="1">
        <v>45851</v>
      </c>
      <c r="C282" t="s">
        <v>4</v>
      </c>
      <c r="D282">
        <v>1</v>
      </c>
      <c r="E282">
        <v>1</v>
      </c>
      <c r="F282" t="s">
        <v>52</v>
      </c>
      <c r="G282">
        <f t="shared" si="93"/>
        <v>10</v>
      </c>
      <c r="H282">
        <f t="shared" si="94"/>
        <v>9</v>
      </c>
      <c r="I282">
        <f t="shared" si="95"/>
        <v>19</v>
      </c>
      <c r="J282">
        <f t="shared" ref="J282:J301" si="96">COUNTIF(D282,"=1")</f>
        <v>1</v>
      </c>
      <c r="K282">
        <f t="shared" ref="K282:K301" si="97">COUNTIF(D282,"&lt;4")</f>
        <v>1</v>
      </c>
      <c r="L282">
        <f t="shared" si="92"/>
        <v>0</v>
      </c>
    </row>
    <row r="283" spans="1:12" x14ac:dyDescent="0.25">
      <c r="A283">
        <v>15</v>
      </c>
      <c r="B283" s="1">
        <v>45851</v>
      </c>
      <c r="C283" t="s">
        <v>4</v>
      </c>
      <c r="D283">
        <v>2</v>
      </c>
      <c r="E283">
        <v>3</v>
      </c>
      <c r="F283" t="s">
        <v>48</v>
      </c>
      <c r="G283">
        <f t="shared" si="93"/>
        <v>9</v>
      </c>
      <c r="H283">
        <f t="shared" si="94"/>
        <v>7</v>
      </c>
      <c r="I283">
        <f t="shared" si="95"/>
        <v>16</v>
      </c>
      <c r="J283">
        <f t="shared" si="96"/>
        <v>0</v>
      </c>
      <c r="K283">
        <f t="shared" si="97"/>
        <v>1</v>
      </c>
      <c r="L283">
        <f t="shared" si="92"/>
        <v>-1</v>
      </c>
    </row>
    <row r="284" spans="1:12" x14ac:dyDescent="0.25">
      <c r="A284">
        <v>15</v>
      </c>
      <c r="B284" s="1">
        <v>45851</v>
      </c>
      <c r="C284" t="s">
        <v>4</v>
      </c>
      <c r="D284">
        <v>3</v>
      </c>
      <c r="E284">
        <v>4</v>
      </c>
      <c r="F284" t="s">
        <v>51</v>
      </c>
      <c r="G284">
        <f t="shared" si="93"/>
        <v>8</v>
      </c>
      <c r="H284">
        <f t="shared" si="94"/>
        <v>5</v>
      </c>
      <c r="I284">
        <f t="shared" si="95"/>
        <v>13</v>
      </c>
      <c r="J284">
        <f t="shared" si="96"/>
        <v>0</v>
      </c>
      <c r="K284">
        <f t="shared" si="97"/>
        <v>1</v>
      </c>
      <c r="L284">
        <f t="shared" si="92"/>
        <v>-1</v>
      </c>
    </row>
    <row r="285" spans="1:12" x14ac:dyDescent="0.25">
      <c r="A285">
        <v>15</v>
      </c>
      <c r="B285" s="1">
        <v>45851</v>
      </c>
      <c r="C285" t="s">
        <v>4</v>
      </c>
      <c r="D285">
        <v>4</v>
      </c>
      <c r="E285">
        <v>5</v>
      </c>
      <c r="F285" t="s">
        <v>58</v>
      </c>
      <c r="G285">
        <f t="shared" si="93"/>
        <v>7</v>
      </c>
      <c r="H285">
        <f t="shared" si="94"/>
        <v>3</v>
      </c>
      <c r="I285">
        <f t="shared" si="95"/>
        <v>10</v>
      </c>
      <c r="J285">
        <f t="shared" si="96"/>
        <v>0</v>
      </c>
      <c r="K285">
        <f t="shared" si="97"/>
        <v>0</v>
      </c>
      <c r="L285">
        <f t="shared" si="92"/>
        <v>-1</v>
      </c>
    </row>
    <row r="286" spans="1:12" x14ac:dyDescent="0.25">
      <c r="A286">
        <v>15</v>
      </c>
      <c r="B286" s="1">
        <v>45851</v>
      </c>
      <c r="C286" t="s">
        <v>4</v>
      </c>
      <c r="D286">
        <v>5</v>
      </c>
      <c r="E286">
        <v>2</v>
      </c>
      <c r="F286" t="s">
        <v>45</v>
      </c>
      <c r="G286">
        <f t="shared" si="93"/>
        <v>6</v>
      </c>
      <c r="H286">
        <f t="shared" si="94"/>
        <v>1</v>
      </c>
      <c r="I286">
        <f t="shared" si="95"/>
        <v>7</v>
      </c>
      <c r="J286">
        <f t="shared" si="96"/>
        <v>0</v>
      </c>
      <c r="K286">
        <f t="shared" si="97"/>
        <v>0</v>
      </c>
      <c r="L286">
        <f>D286-E286</f>
        <v>3</v>
      </c>
    </row>
    <row r="287" spans="1:12" x14ac:dyDescent="0.25">
      <c r="A287">
        <v>15</v>
      </c>
      <c r="B287" s="1">
        <v>45851</v>
      </c>
      <c r="C287" t="s">
        <v>4</v>
      </c>
      <c r="D287">
        <v>6</v>
      </c>
      <c r="E287">
        <v>6</v>
      </c>
      <c r="F287" t="s">
        <v>59</v>
      </c>
      <c r="G287">
        <f t="shared" si="93"/>
        <v>5</v>
      </c>
      <c r="H287">
        <f t="shared" si="94"/>
        <v>0</v>
      </c>
      <c r="I287">
        <f t="shared" si="95"/>
        <v>5</v>
      </c>
      <c r="J287">
        <f t="shared" si="96"/>
        <v>0</v>
      </c>
      <c r="K287">
        <f t="shared" si="97"/>
        <v>0</v>
      </c>
      <c r="L287">
        <f t="shared" ref="L287:L289" si="98">D287-E287</f>
        <v>0</v>
      </c>
    </row>
    <row r="288" spans="1:12" x14ac:dyDescent="0.25">
      <c r="A288">
        <v>15</v>
      </c>
      <c r="B288" s="1">
        <v>45851</v>
      </c>
      <c r="C288" t="s">
        <v>4</v>
      </c>
      <c r="D288">
        <v>7</v>
      </c>
      <c r="E288">
        <v>10</v>
      </c>
      <c r="F288" t="s">
        <v>63</v>
      </c>
      <c r="G288">
        <f t="shared" si="93"/>
        <v>4</v>
      </c>
      <c r="H288">
        <f t="shared" si="94"/>
        <v>0</v>
      </c>
      <c r="I288">
        <f t="shared" si="95"/>
        <v>4</v>
      </c>
      <c r="J288">
        <f t="shared" si="96"/>
        <v>0</v>
      </c>
      <c r="K288">
        <f t="shared" si="97"/>
        <v>0</v>
      </c>
      <c r="L288">
        <f t="shared" si="98"/>
        <v>-3</v>
      </c>
    </row>
    <row r="289" spans="1:12" x14ac:dyDescent="0.25">
      <c r="A289">
        <v>15</v>
      </c>
      <c r="B289" s="1">
        <v>45851</v>
      </c>
      <c r="C289" t="s">
        <v>4</v>
      </c>
      <c r="D289">
        <v>8</v>
      </c>
      <c r="E289">
        <v>8</v>
      </c>
      <c r="F289" t="s">
        <v>61</v>
      </c>
      <c r="G289">
        <f t="shared" si="93"/>
        <v>3</v>
      </c>
      <c r="H289">
        <f t="shared" si="94"/>
        <v>0</v>
      </c>
      <c r="I289">
        <f t="shared" si="95"/>
        <v>3</v>
      </c>
      <c r="J289">
        <f t="shared" si="96"/>
        <v>0</v>
      </c>
      <c r="K289">
        <f t="shared" si="97"/>
        <v>0</v>
      </c>
      <c r="L289">
        <f t="shared" si="98"/>
        <v>0</v>
      </c>
    </row>
    <row r="290" spans="1:12" x14ac:dyDescent="0.25">
      <c r="A290">
        <v>15</v>
      </c>
      <c r="B290" s="1">
        <v>45851</v>
      </c>
      <c r="C290" t="s">
        <v>4</v>
      </c>
      <c r="D290">
        <v>9</v>
      </c>
      <c r="E290">
        <v>7</v>
      </c>
      <c r="F290" t="s">
        <v>46</v>
      </c>
      <c r="G290">
        <f t="shared" si="93"/>
        <v>2</v>
      </c>
      <c r="H290">
        <f t="shared" si="94"/>
        <v>0</v>
      </c>
      <c r="I290">
        <f t="shared" si="95"/>
        <v>2</v>
      </c>
      <c r="J290">
        <f t="shared" si="96"/>
        <v>0</v>
      </c>
      <c r="K290">
        <f t="shared" si="97"/>
        <v>0</v>
      </c>
      <c r="L290">
        <f>D290-E290</f>
        <v>2</v>
      </c>
    </row>
    <row r="291" spans="1:12" x14ac:dyDescent="0.25">
      <c r="A291">
        <v>15</v>
      </c>
      <c r="B291" s="1">
        <v>45851</v>
      </c>
      <c r="C291" t="s">
        <v>4</v>
      </c>
      <c r="D291">
        <v>10</v>
      </c>
      <c r="E291">
        <v>9</v>
      </c>
      <c r="F291" t="s">
        <v>54</v>
      </c>
      <c r="G291">
        <f t="shared" si="93"/>
        <v>1</v>
      </c>
      <c r="H291">
        <f t="shared" si="94"/>
        <v>0</v>
      </c>
      <c r="I291">
        <f t="shared" si="95"/>
        <v>1</v>
      </c>
      <c r="J291">
        <f t="shared" si="96"/>
        <v>0</v>
      </c>
      <c r="K291">
        <f t="shared" si="97"/>
        <v>0</v>
      </c>
      <c r="L291">
        <f t="shared" ref="L291:L305" si="99">D291-E291</f>
        <v>1</v>
      </c>
    </row>
    <row r="292" spans="1:12" x14ac:dyDescent="0.25">
      <c r="A292">
        <v>15</v>
      </c>
      <c r="B292" s="1">
        <v>45851</v>
      </c>
      <c r="C292" t="s">
        <v>15</v>
      </c>
      <c r="D292">
        <v>1</v>
      </c>
      <c r="E292">
        <v>1</v>
      </c>
      <c r="F292" t="s">
        <v>55</v>
      </c>
      <c r="G292">
        <f t="shared" si="93"/>
        <v>10</v>
      </c>
      <c r="H292">
        <f t="shared" si="94"/>
        <v>9</v>
      </c>
      <c r="I292">
        <f t="shared" si="95"/>
        <v>19</v>
      </c>
      <c r="J292">
        <f t="shared" si="96"/>
        <v>1</v>
      </c>
      <c r="K292">
        <f t="shared" si="97"/>
        <v>1</v>
      </c>
      <c r="L292">
        <f t="shared" si="99"/>
        <v>0</v>
      </c>
    </row>
    <row r="293" spans="1:12" x14ac:dyDescent="0.25">
      <c r="A293">
        <v>15</v>
      </c>
      <c r="B293" s="1">
        <v>45851</v>
      </c>
      <c r="C293" t="s">
        <v>15</v>
      </c>
      <c r="D293">
        <v>2</v>
      </c>
      <c r="E293">
        <v>2</v>
      </c>
      <c r="F293" t="s">
        <v>47</v>
      </c>
      <c r="G293">
        <f t="shared" si="93"/>
        <v>9</v>
      </c>
      <c r="H293">
        <f t="shared" si="94"/>
        <v>7</v>
      </c>
      <c r="I293">
        <f t="shared" si="95"/>
        <v>16</v>
      </c>
      <c r="J293">
        <f t="shared" si="96"/>
        <v>0</v>
      </c>
      <c r="K293">
        <f t="shared" si="97"/>
        <v>1</v>
      </c>
      <c r="L293">
        <f t="shared" si="99"/>
        <v>0</v>
      </c>
    </row>
    <row r="294" spans="1:12" x14ac:dyDescent="0.25">
      <c r="A294">
        <v>15</v>
      </c>
      <c r="B294" s="1">
        <v>45851</v>
      </c>
      <c r="C294" t="s">
        <v>15</v>
      </c>
      <c r="D294">
        <v>3</v>
      </c>
      <c r="E294">
        <v>3</v>
      </c>
      <c r="F294" t="s">
        <v>53</v>
      </c>
      <c r="G294">
        <f t="shared" ref="G294:G313" si="100">11-D294</f>
        <v>8</v>
      </c>
      <c r="H294">
        <f t="shared" ref="H294:H313" si="101">IF(D294&lt;6,11-2*D294,0)</f>
        <v>5</v>
      </c>
      <c r="I294">
        <f t="shared" ref="I294:I313" si="102">G294+H294</f>
        <v>13</v>
      </c>
      <c r="J294">
        <f t="shared" si="96"/>
        <v>0</v>
      </c>
      <c r="K294">
        <f t="shared" si="97"/>
        <v>1</v>
      </c>
      <c r="L294">
        <f t="shared" si="99"/>
        <v>0</v>
      </c>
    </row>
    <row r="295" spans="1:12" x14ac:dyDescent="0.25">
      <c r="A295">
        <v>15</v>
      </c>
      <c r="B295" s="1">
        <v>45851</v>
      </c>
      <c r="C295" t="s">
        <v>15</v>
      </c>
      <c r="D295">
        <v>4</v>
      </c>
      <c r="E295">
        <v>5</v>
      </c>
      <c r="F295" t="s">
        <v>56</v>
      </c>
      <c r="G295">
        <f t="shared" si="100"/>
        <v>7</v>
      </c>
      <c r="H295">
        <f t="shared" si="101"/>
        <v>3</v>
      </c>
      <c r="I295">
        <f t="shared" si="102"/>
        <v>10</v>
      </c>
      <c r="J295">
        <f t="shared" si="96"/>
        <v>0</v>
      </c>
      <c r="K295">
        <f t="shared" si="97"/>
        <v>0</v>
      </c>
      <c r="L295">
        <f t="shared" si="99"/>
        <v>-1</v>
      </c>
    </row>
    <row r="296" spans="1:12" x14ac:dyDescent="0.25">
      <c r="A296">
        <v>15</v>
      </c>
      <c r="B296" s="1">
        <v>45851</v>
      </c>
      <c r="C296" t="s">
        <v>15</v>
      </c>
      <c r="D296">
        <v>5</v>
      </c>
      <c r="E296">
        <v>6</v>
      </c>
      <c r="F296" t="s">
        <v>62</v>
      </c>
      <c r="G296">
        <f t="shared" si="100"/>
        <v>6</v>
      </c>
      <c r="H296">
        <f t="shared" si="101"/>
        <v>1</v>
      </c>
      <c r="I296">
        <f t="shared" si="102"/>
        <v>7</v>
      </c>
      <c r="J296">
        <f t="shared" si="96"/>
        <v>0</v>
      </c>
      <c r="K296">
        <f t="shared" si="97"/>
        <v>0</v>
      </c>
      <c r="L296">
        <f t="shared" si="99"/>
        <v>-1</v>
      </c>
    </row>
    <row r="297" spans="1:12" x14ac:dyDescent="0.25">
      <c r="A297">
        <v>15</v>
      </c>
      <c r="B297" s="1">
        <v>45851</v>
      </c>
      <c r="C297" t="s">
        <v>15</v>
      </c>
      <c r="D297">
        <v>6</v>
      </c>
      <c r="E297">
        <v>4</v>
      </c>
      <c r="F297" t="s">
        <v>50</v>
      </c>
      <c r="G297">
        <f t="shared" si="100"/>
        <v>5</v>
      </c>
      <c r="H297">
        <f t="shared" si="101"/>
        <v>0</v>
      </c>
      <c r="I297">
        <f t="shared" si="102"/>
        <v>5</v>
      </c>
      <c r="J297">
        <f t="shared" si="96"/>
        <v>0</v>
      </c>
      <c r="K297">
        <f t="shared" si="97"/>
        <v>0</v>
      </c>
      <c r="L297">
        <f t="shared" si="99"/>
        <v>2</v>
      </c>
    </row>
    <row r="298" spans="1:12" x14ac:dyDescent="0.25">
      <c r="A298">
        <v>15</v>
      </c>
      <c r="B298" s="1">
        <v>45851</v>
      </c>
      <c r="C298" t="s">
        <v>15</v>
      </c>
      <c r="D298">
        <v>7</v>
      </c>
      <c r="E298">
        <v>7</v>
      </c>
      <c r="F298" t="s">
        <v>60</v>
      </c>
      <c r="G298">
        <f t="shared" si="100"/>
        <v>4</v>
      </c>
      <c r="H298">
        <f t="shared" si="101"/>
        <v>0</v>
      </c>
      <c r="I298">
        <f t="shared" si="102"/>
        <v>4</v>
      </c>
      <c r="J298">
        <f t="shared" si="96"/>
        <v>0</v>
      </c>
      <c r="K298">
        <f t="shared" si="97"/>
        <v>0</v>
      </c>
      <c r="L298">
        <f t="shared" si="99"/>
        <v>0</v>
      </c>
    </row>
    <row r="299" spans="1:12" x14ac:dyDescent="0.25">
      <c r="A299">
        <v>15</v>
      </c>
      <c r="B299" s="1">
        <v>45851</v>
      </c>
      <c r="C299" t="s">
        <v>15</v>
      </c>
      <c r="D299">
        <v>8</v>
      </c>
      <c r="E299">
        <v>8</v>
      </c>
      <c r="F299" t="s">
        <v>64</v>
      </c>
      <c r="G299">
        <f t="shared" si="100"/>
        <v>3</v>
      </c>
      <c r="H299">
        <f t="shared" si="101"/>
        <v>0</v>
      </c>
      <c r="I299">
        <f t="shared" si="102"/>
        <v>3</v>
      </c>
      <c r="J299">
        <f t="shared" si="96"/>
        <v>0</v>
      </c>
      <c r="K299">
        <f t="shared" si="97"/>
        <v>0</v>
      </c>
      <c r="L299">
        <f t="shared" si="99"/>
        <v>0</v>
      </c>
    </row>
    <row r="300" spans="1:12" x14ac:dyDescent="0.25">
      <c r="A300">
        <v>15</v>
      </c>
      <c r="B300" s="1">
        <v>45851</v>
      </c>
      <c r="C300" t="s">
        <v>15</v>
      </c>
      <c r="D300">
        <v>9</v>
      </c>
      <c r="E300">
        <v>10</v>
      </c>
      <c r="F300" t="s">
        <v>65</v>
      </c>
      <c r="G300">
        <f t="shared" si="100"/>
        <v>2</v>
      </c>
      <c r="H300">
        <f t="shared" si="101"/>
        <v>0</v>
      </c>
      <c r="I300">
        <f t="shared" si="102"/>
        <v>2</v>
      </c>
      <c r="J300">
        <f t="shared" si="96"/>
        <v>0</v>
      </c>
      <c r="K300">
        <f t="shared" si="97"/>
        <v>0</v>
      </c>
      <c r="L300">
        <f t="shared" si="99"/>
        <v>-1</v>
      </c>
    </row>
    <row r="301" spans="1:12" x14ac:dyDescent="0.25">
      <c r="A301">
        <v>15</v>
      </c>
      <c r="B301" s="1">
        <v>45851</v>
      </c>
      <c r="C301" t="s">
        <v>15</v>
      </c>
      <c r="D301">
        <v>10</v>
      </c>
      <c r="E301">
        <v>9</v>
      </c>
      <c r="F301" t="s">
        <v>43</v>
      </c>
      <c r="G301">
        <f t="shared" si="100"/>
        <v>1</v>
      </c>
      <c r="H301">
        <f t="shared" si="101"/>
        <v>0</v>
      </c>
      <c r="I301">
        <f t="shared" si="102"/>
        <v>1</v>
      </c>
      <c r="J301">
        <f t="shared" si="96"/>
        <v>0</v>
      </c>
      <c r="K301">
        <f t="shared" si="97"/>
        <v>0</v>
      </c>
      <c r="L301">
        <f t="shared" si="99"/>
        <v>1</v>
      </c>
    </row>
    <row r="302" spans="1:12" x14ac:dyDescent="0.25">
      <c r="A302">
        <v>16</v>
      </c>
      <c r="B302" s="1">
        <v>45858</v>
      </c>
      <c r="C302" t="s">
        <v>4</v>
      </c>
      <c r="D302">
        <v>1</v>
      </c>
      <c r="E302">
        <v>1</v>
      </c>
      <c r="F302" t="s">
        <v>52</v>
      </c>
      <c r="G302">
        <f t="shared" si="100"/>
        <v>10</v>
      </c>
      <c r="H302">
        <f t="shared" si="101"/>
        <v>9</v>
      </c>
      <c r="I302">
        <f t="shared" si="102"/>
        <v>19</v>
      </c>
      <c r="J302">
        <f t="shared" ref="J302:J321" si="103">COUNTIF(D302,"=1")</f>
        <v>1</v>
      </c>
      <c r="K302">
        <f t="shared" ref="K302:K321" si="104">COUNTIF(D302,"&lt;4")</f>
        <v>1</v>
      </c>
      <c r="L302">
        <f t="shared" si="99"/>
        <v>0</v>
      </c>
    </row>
    <row r="303" spans="1:12" x14ac:dyDescent="0.25">
      <c r="A303">
        <v>16</v>
      </c>
      <c r="B303" s="1">
        <v>45858</v>
      </c>
      <c r="C303" t="s">
        <v>4</v>
      </c>
      <c r="D303">
        <v>2</v>
      </c>
      <c r="E303">
        <v>2</v>
      </c>
      <c r="F303" t="s">
        <v>48</v>
      </c>
      <c r="G303">
        <f t="shared" si="100"/>
        <v>9</v>
      </c>
      <c r="H303">
        <f t="shared" si="101"/>
        <v>7</v>
      </c>
      <c r="I303">
        <f t="shared" si="102"/>
        <v>16</v>
      </c>
      <c r="J303">
        <f t="shared" si="103"/>
        <v>0</v>
      </c>
      <c r="K303">
        <f t="shared" si="104"/>
        <v>1</v>
      </c>
      <c r="L303">
        <f t="shared" si="99"/>
        <v>0</v>
      </c>
    </row>
    <row r="304" spans="1:12" x14ac:dyDescent="0.25">
      <c r="A304">
        <v>16</v>
      </c>
      <c r="B304" s="1">
        <v>45858</v>
      </c>
      <c r="C304" t="s">
        <v>4</v>
      </c>
      <c r="D304">
        <v>3</v>
      </c>
      <c r="E304">
        <v>3</v>
      </c>
      <c r="F304" t="s">
        <v>51</v>
      </c>
      <c r="G304">
        <f t="shared" si="100"/>
        <v>8</v>
      </c>
      <c r="H304">
        <f t="shared" si="101"/>
        <v>5</v>
      </c>
      <c r="I304">
        <f t="shared" si="102"/>
        <v>13</v>
      </c>
      <c r="J304">
        <f t="shared" si="103"/>
        <v>0</v>
      </c>
      <c r="K304">
        <f t="shared" si="104"/>
        <v>1</v>
      </c>
      <c r="L304">
        <f t="shared" si="99"/>
        <v>0</v>
      </c>
    </row>
    <row r="305" spans="1:12" x14ac:dyDescent="0.25">
      <c r="A305">
        <v>16</v>
      </c>
      <c r="B305" s="1">
        <v>45858</v>
      </c>
      <c r="C305" t="s">
        <v>4</v>
      </c>
      <c r="D305">
        <v>4</v>
      </c>
      <c r="E305">
        <v>4</v>
      </c>
      <c r="F305" t="s">
        <v>58</v>
      </c>
      <c r="G305">
        <f t="shared" si="100"/>
        <v>7</v>
      </c>
      <c r="H305">
        <f t="shared" si="101"/>
        <v>3</v>
      </c>
      <c r="I305">
        <f t="shared" si="102"/>
        <v>10</v>
      </c>
      <c r="J305">
        <f t="shared" si="103"/>
        <v>0</v>
      </c>
      <c r="K305">
        <f t="shared" si="104"/>
        <v>0</v>
      </c>
      <c r="L305">
        <f t="shared" si="99"/>
        <v>0</v>
      </c>
    </row>
    <row r="306" spans="1:12" x14ac:dyDescent="0.25">
      <c r="A306">
        <v>16</v>
      </c>
      <c r="B306" s="1">
        <v>45858</v>
      </c>
      <c r="C306" t="s">
        <v>4</v>
      </c>
      <c r="D306">
        <v>5</v>
      </c>
      <c r="E306">
        <v>6</v>
      </c>
      <c r="F306" t="s">
        <v>59</v>
      </c>
      <c r="G306">
        <f t="shared" si="100"/>
        <v>6</v>
      </c>
      <c r="H306">
        <f t="shared" si="101"/>
        <v>1</v>
      </c>
      <c r="I306">
        <f t="shared" si="102"/>
        <v>7</v>
      </c>
      <c r="J306">
        <f t="shared" si="103"/>
        <v>0</v>
      </c>
      <c r="K306">
        <f t="shared" si="104"/>
        <v>0</v>
      </c>
      <c r="L306">
        <f>D306-E306</f>
        <v>-1</v>
      </c>
    </row>
    <row r="307" spans="1:12" x14ac:dyDescent="0.25">
      <c r="A307">
        <v>16</v>
      </c>
      <c r="B307" s="1">
        <v>45858</v>
      </c>
      <c r="C307" t="s">
        <v>4</v>
      </c>
      <c r="D307">
        <v>6</v>
      </c>
      <c r="E307">
        <v>7</v>
      </c>
      <c r="F307" t="s">
        <v>63</v>
      </c>
      <c r="G307">
        <f t="shared" si="100"/>
        <v>5</v>
      </c>
      <c r="H307">
        <f t="shared" si="101"/>
        <v>0</v>
      </c>
      <c r="I307">
        <f t="shared" si="102"/>
        <v>5</v>
      </c>
      <c r="J307">
        <f t="shared" si="103"/>
        <v>0</v>
      </c>
      <c r="K307">
        <f t="shared" si="104"/>
        <v>0</v>
      </c>
      <c r="L307">
        <f t="shared" ref="L307:L309" si="105">D307-E307</f>
        <v>-1</v>
      </c>
    </row>
    <row r="308" spans="1:12" x14ac:dyDescent="0.25">
      <c r="A308">
        <v>16</v>
      </c>
      <c r="B308" s="1">
        <v>45858</v>
      </c>
      <c r="C308" t="s">
        <v>4</v>
      </c>
      <c r="D308">
        <v>7</v>
      </c>
      <c r="E308">
        <v>5</v>
      </c>
      <c r="F308" t="s">
        <v>45</v>
      </c>
      <c r="G308">
        <f t="shared" si="100"/>
        <v>4</v>
      </c>
      <c r="H308">
        <f t="shared" si="101"/>
        <v>0</v>
      </c>
      <c r="I308">
        <f t="shared" si="102"/>
        <v>4</v>
      </c>
      <c r="J308">
        <f t="shared" si="103"/>
        <v>0</v>
      </c>
      <c r="K308">
        <f t="shared" si="104"/>
        <v>0</v>
      </c>
      <c r="L308">
        <f t="shared" si="105"/>
        <v>2</v>
      </c>
    </row>
    <row r="309" spans="1:12" x14ac:dyDescent="0.25">
      <c r="A309">
        <v>16</v>
      </c>
      <c r="B309" s="1">
        <v>45858</v>
      </c>
      <c r="C309" t="s">
        <v>4</v>
      </c>
      <c r="D309">
        <v>8</v>
      </c>
      <c r="E309">
        <v>8</v>
      </c>
      <c r="F309" t="s">
        <v>61</v>
      </c>
      <c r="G309">
        <f t="shared" si="100"/>
        <v>3</v>
      </c>
      <c r="H309">
        <f t="shared" si="101"/>
        <v>0</v>
      </c>
      <c r="I309">
        <f t="shared" si="102"/>
        <v>3</v>
      </c>
      <c r="J309">
        <f t="shared" si="103"/>
        <v>0</v>
      </c>
      <c r="K309">
        <f t="shared" si="104"/>
        <v>0</v>
      </c>
      <c r="L309">
        <f t="shared" si="105"/>
        <v>0</v>
      </c>
    </row>
    <row r="310" spans="1:12" x14ac:dyDescent="0.25">
      <c r="A310">
        <v>16</v>
      </c>
      <c r="B310" s="1">
        <v>45858</v>
      </c>
      <c r="C310" t="s">
        <v>4</v>
      </c>
      <c r="D310">
        <v>9</v>
      </c>
      <c r="E310">
        <v>11</v>
      </c>
      <c r="F310" t="s">
        <v>66</v>
      </c>
      <c r="G310">
        <f t="shared" si="100"/>
        <v>2</v>
      </c>
      <c r="H310">
        <f t="shared" si="101"/>
        <v>0</v>
      </c>
      <c r="I310">
        <f t="shared" si="102"/>
        <v>2</v>
      </c>
      <c r="J310">
        <f t="shared" si="103"/>
        <v>0</v>
      </c>
      <c r="K310">
        <f t="shared" si="104"/>
        <v>0</v>
      </c>
      <c r="L310">
        <f>D310-E310</f>
        <v>-2</v>
      </c>
    </row>
    <row r="311" spans="1:12" x14ac:dyDescent="0.25">
      <c r="A311">
        <v>16</v>
      </c>
      <c r="B311" s="1">
        <v>45858</v>
      </c>
      <c r="C311" t="s">
        <v>4</v>
      </c>
      <c r="D311">
        <v>10</v>
      </c>
      <c r="E311">
        <v>9</v>
      </c>
      <c r="F311" t="s">
        <v>46</v>
      </c>
      <c r="G311">
        <f t="shared" si="100"/>
        <v>1</v>
      </c>
      <c r="H311">
        <f t="shared" si="101"/>
        <v>0</v>
      </c>
      <c r="I311">
        <f t="shared" si="102"/>
        <v>1</v>
      </c>
      <c r="J311">
        <f t="shared" si="103"/>
        <v>0</v>
      </c>
      <c r="K311">
        <f t="shared" si="104"/>
        <v>0</v>
      </c>
      <c r="L311">
        <f t="shared" ref="L311:L325" si="106">D311-E311</f>
        <v>1</v>
      </c>
    </row>
    <row r="312" spans="1:12" x14ac:dyDescent="0.25">
      <c r="A312">
        <v>16</v>
      </c>
      <c r="B312" s="1">
        <v>45858</v>
      </c>
      <c r="C312" t="s">
        <v>15</v>
      </c>
      <c r="D312">
        <v>1</v>
      </c>
      <c r="E312">
        <v>1</v>
      </c>
      <c r="F312" t="s">
        <v>55</v>
      </c>
      <c r="G312">
        <f t="shared" si="100"/>
        <v>10</v>
      </c>
      <c r="H312">
        <f t="shared" si="101"/>
        <v>9</v>
      </c>
      <c r="I312">
        <f t="shared" si="102"/>
        <v>19</v>
      </c>
      <c r="J312">
        <f t="shared" si="103"/>
        <v>1</v>
      </c>
      <c r="K312">
        <f t="shared" si="104"/>
        <v>1</v>
      </c>
      <c r="L312">
        <f t="shared" si="106"/>
        <v>0</v>
      </c>
    </row>
    <row r="313" spans="1:12" x14ac:dyDescent="0.25">
      <c r="A313">
        <v>16</v>
      </c>
      <c r="B313" s="1">
        <v>45858</v>
      </c>
      <c r="C313" t="s">
        <v>15</v>
      </c>
      <c r="D313">
        <v>2</v>
      </c>
      <c r="E313">
        <v>3</v>
      </c>
      <c r="F313" t="s">
        <v>53</v>
      </c>
      <c r="G313">
        <f t="shared" si="100"/>
        <v>9</v>
      </c>
      <c r="H313">
        <f t="shared" si="101"/>
        <v>7</v>
      </c>
      <c r="I313">
        <f t="shared" si="102"/>
        <v>16</v>
      </c>
      <c r="J313">
        <f t="shared" si="103"/>
        <v>0</v>
      </c>
      <c r="K313">
        <f t="shared" si="104"/>
        <v>1</v>
      </c>
      <c r="L313">
        <f t="shared" si="106"/>
        <v>-1</v>
      </c>
    </row>
    <row r="314" spans="1:12" x14ac:dyDescent="0.25">
      <c r="A314">
        <v>16</v>
      </c>
      <c r="B314" s="1">
        <v>45858</v>
      </c>
      <c r="C314" t="s">
        <v>15</v>
      </c>
      <c r="D314">
        <v>3</v>
      </c>
      <c r="E314">
        <v>4</v>
      </c>
      <c r="F314" t="s">
        <v>56</v>
      </c>
      <c r="G314">
        <f t="shared" ref="G314:G333" si="107">11-D314</f>
        <v>8</v>
      </c>
      <c r="H314">
        <f t="shared" ref="H314:H333" si="108">IF(D314&lt;6,11-2*D314,0)</f>
        <v>5</v>
      </c>
      <c r="I314">
        <f t="shared" ref="I314:I333" si="109">G314+H314</f>
        <v>13</v>
      </c>
      <c r="J314">
        <f t="shared" si="103"/>
        <v>0</v>
      </c>
      <c r="K314">
        <f t="shared" si="104"/>
        <v>1</v>
      </c>
      <c r="L314">
        <f t="shared" si="106"/>
        <v>-1</v>
      </c>
    </row>
    <row r="315" spans="1:12" x14ac:dyDescent="0.25">
      <c r="A315">
        <v>16</v>
      </c>
      <c r="B315" s="1">
        <v>45858</v>
      </c>
      <c r="C315" t="s">
        <v>15</v>
      </c>
      <c r="D315">
        <v>4</v>
      </c>
      <c r="E315">
        <v>2</v>
      </c>
      <c r="F315" t="s">
        <v>47</v>
      </c>
      <c r="G315">
        <f t="shared" si="107"/>
        <v>7</v>
      </c>
      <c r="H315">
        <f t="shared" si="108"/>
        <v>3</v>
      </c>
      <c r="I315">
        <f t="shared" si="109"/>
        <v>10</v>
      </c>
      <c r="J315">
        <f t="shared" si="103"/>
        <v>0</v>
      </c>
      <c r="K315">
        <f t="shared" si="104"/>
        <v>0</v>
      </c>
      <c r="L315">
        <f t="shared" si="106"/>
        <v>2</v>
      </c>
    </row>
    <row r="316" spans="1:12" x14ac:dyDescent="0.25">
      <c r="A316">
        <v>16</v>
      </c>
      <c r="B316" s="1">
        <v>45858</v>
      </c>
      <c r="C316" t="s">
        <v>15</v>
      </c>
      <c r="D316">
        <v>5</v>
      </c>
      <c r="E316">
        <v>5</v>
      </c>
      <c r="F316" t="s">
        <v>62</v>
      </c>
      <c r="G316">
        <f t="shared" si="107"/>
        <v>6</v>
      </c>
      <c r="H316">
        <f t="shared" si="108"/>
        <v>1</v>
      </c>
      <c r="I316">
        <f t="shared" si="109"/>
        <v>7</v>
      </c>
      <c r="J316">
        <f t="shared" si="103"/>
        <v>0</v>
      </c>
      <c r="K316">
        <f t="shared" si="104"/>
        <v>0</v>
      </c>
      <c r="L316">
        <f t="shared" si="106"/>
        <v>0</v>
      </c>
    </row>
    <row r="317" spans="1:12" x14ac:dyDescent="0.25">
      <c r="A317">
        <v>16</v>
      </c>
      <c r="B317" s="1">
        <v>45858</v>
      </c>
      <c r="C317" t="s">
        <v>15</v>
      </c>
      <c r="D317">
        <v>6</v>
      </c>
      <c r="E317">
        <v>8</v>
      </c>
      <c r="F317" t="s">
        <v>64</v>
      </c>
      <c r="G317">
        <f t="shared" si="107"/>
        <v>5</v>
      </c>
      <c r="H317">
        <f t="shared" si="108"/>
        <v>0</v>
      </c>
      <c r="I317">
        <f t="shared" si="109"/>
        <v>5</v>
      </c>
      <c r="J317">
        <f t="shared" si="103"/>
        <v>0</v>
      </c>
      <c r="K317">
        <f t="shared" si="104"/>
        <v>0</v>
      </c>
      <c r="L317">
        <f t="shared" si="106"/>
        <v>-2</v>
      </c>
    </row>
    <row r="318" spans="1:12" x14ac:dyDescent="0.25">
      <c r="A318">
        <v>16</v>
      </c>
      <c r="B318" s="1">
        <v>45858</v>
      </c>
      <c r="C318" t="s">
        <v>15</v>
      </c>
      <c r="D318">
        <v>7</v>
      </c>
      <c r="E318">
        <v>9</v>
      </c>
      <c r="F318" t="s">
        <v>65</v>
      </c>
      <c r="G318">
        <f t="shared" si="107"/>
        <v>4</v>
      </c>
      <c r="H318">
        <f t="shared" si="108"/>
        <v>0</v>
      </c>
      <c r="I318">
        <f t="shared" si="109"/>
        <v>4</v>
      </c>
      <c r="J318">
        <f t="shared" si="103"/>
        <v>0</v>
      </c>
      <c r="K318">
        <f t="shared" si="104"/>
        <v>0</v>
      </c>
      <c r="L318">
        <f t="shared" si="106"/>
        <v>-2</v>
      </c>
    </row>
    <row r="319" spans="1:12" x14ac:dyDescent="0.25">
      <c r="A319">
        <v>16</v>
      </c>
      <c r="B319" s="1">
        <v>45858</v>
      </c>
      <c r="C319" t="s">
        <v>15</v>
      </c>
      <c r="D319">
        <v>8</v>
      </c>
      <c r="E319">
        <v>7</v>
      </c>
      <c r="F319" t="s">
        <v>60</v>
      </c>
      <c r="G319">
        <f t="shared" si="107"/>
        <v>3</v>
      </c>
      <c r="H319">
        <f t="shared" si="108"/>
        <v>0</v>
      </c>
      <c r="I319">
        <f t="shared" si="109"/>
        <v>3</v>
      </c>
      <c r="J319">
        <f t="shared" si="103"/>
        <v>0</v>
      </c>
      <c r="K319">
        <f t="shared" si="104"/>
        <v>0</v>
      </c>
      <c r="L319">
        <f t="shared" si="106"/>
        <v>1</v>
      </c>
    </row>
    <row r="320" spans="1:12" x14ac:dyDescent="0.25">
      <c r="A320">
        <v>16</v>
      </c>
      <c r="B320" s="1">
        <v>45858</v>
      </c>
      <c r="C320" t="s">
        <v>15</v>
      </c>
      <c r="D320">
        <v>9</v>
      </c>
      <c r="E320">
        <v>11</v>
      </c>
      <c r="F320" t="s">
        <v>67</v>
      </c>
      <c r="G320">
        <f t="shared" si="107"/>
        <v>2</v>
      </c>
      <c r="H320">
        <f t="shared" si="108"/>
        <v>0</v>
      </c>
      <c r="I320">
        <f t="shared" si="109"/>
        <v>2</v>
      </c>
      <c r="J320">
        <f t="shared" si="103"/>
        <v>0</v>
      </c>
      <c r="K320">
        <f t="shared" si="104"/>
        <v>0</v>
      </c>
      <c r="L320">
        <f t="shared" si="106"/>
        <v>-2</v>
      </c>
    </row>
    <row r="321" spans="1:12" x14ac:dyDescent="0.25">
      <c r="A321">
        <v>16</v>
      </c>
      <c r="B321" s="1">
        <v>45858</v>
      </c>
      <c r="C321" t="s">
        <v>15</v>
      </c>
      <c r="D321">
        <v>10</v>
      </c>
      <c r="E321">
        <v>11</v>
      </c>
      <c r="F321" t="s">
        <v>68</v>
      </c>
      <c r="G321">
        <f t="shared" si="107"/>
        <v>1</v>
      </c>
      <c r="H321">
        <f t="shared" si="108"/>
        <v>0</v>
      </c>
      <c r="I321">
        <f t="shared" si="109"/>
        <v>1</v>
      </c>
      <c r="J321">
        <f t="shared" si="103"/>
        <v>0</v>
      </c>
      <c r="K321">
        <f t="shared" si="104"/>
        <v>0</v>
      </c>
      <c r="L321">
        <f t="shared" si="106"/>
        <v>-1</v>
      </c>
    </row>
    <row r="322" spans="1:12" x14ac:dyDescent="0.25">
      <c r="A322">
        <v>17</v>
      </c>
      <c r="B322" s="1">
        <v>45872</v>
      </c>
      <c r="C322" t="s">
        <v>4</v>
      </c>
      <c r="D322">
        <v>1</v>
      </c>
      <c r="E322">
        <v>2</v>
      </c>
      <c r="F322" t="s">
        <v>48</v>
      </c>
      <c r="G322">
        <f t="shared" si="107"/>
        <v>10</v>
      </c>
      <c r="H322">
        <f t="shared" si="108"/>
        <v>9</v>
      </c>
      <c r="I322">
        <f t="shared" si="109"/>
        <v>19</v>
      </c>
      <c r="J322">
        <f t="shared" ref="J322:J341" si="110">COUNTIF(D322,"=1")</f>
        <v>1</v>
      </c>
      <c r="K322">
        <f t="shared" ref="K322:K341" si="111">COUNTIF(D322,"&lt;4")</f>
        <v>1</v>
      </c>
      <c r="L322">
        <f t="shared" si="106"/>
        <v>-1</v>
      </c>
    </row>
    <row r="323" spans="1:12" x14ac:dyDescent="0.25">
      <c r="A323">
        <v>17</v>
      </c>
      <c r="B323" s="1">
        <v>45872</v>
      </c>
      <c r="C323" t="s">
        <v>4</v>
      </c>
      <c r="D323">
        <v>2</v>
      </c>
      <c r="E323">
        <v>3</v>
      </c>
      <c r="F323" t="s">
        <v>51</v>
      </c>
      <c r="G323">
        <f t="shared" si="107"/>
        <v>9</v>
      </c>
      <c r="H323">
        <f t="shared" si="108"/>
        <v>7</v>
      </c>
      <c r="I323">
        <f t="shared" si="109"/>
        <v>16</v>
      </c>
      <c r="J323">
        <f t="shared" si="110"/>
        <v>0</v>
      </c>
      <c r="K323">
        <f t="shared" si="111"/>
        <v>1</v>
      </c>
      <c r="L323">
        <f t="shared" si="106"/>
        <v>-1</v>
      </c>
    </row>
    <row r="324" spans="1:12" x14ac:dyDescent="0.25">
      <c r="A324">
        <v>17</v>
      </c>
      <c r="B324" s="1">
        <v>45872</v>
      </c>
      <c r="C324" t="s">
        <v>4</v>
      </c>
      <c r="D324">
        <v>3</v>
      </c>
      <c r="E324">
        <v>4</v>
      </c>
      <c r="F324" t="s">
        <v>58</v>
      </c>
      <c r="G324">
        <f t="shared" si="107"/>
        <v>8</v>
      </c>
      <c r="H324">
        <f t="shared" si="108"/>
        <v>5</v>
      </c>
      <c r="I324">
        <f t="shared" si="109"/>
        <v>13</v>
      </c>
      <c r="J324">
        <f t="shared" si="110"/>
        <v>0</v>
      </c>
      <c r="K324">
        <f t="shared" si="111"/>
        <v>1</v>
      </c>
      <c r="L324">
        <f t="shared" si="106"/>
        <v>-1</v>
      </c>
    </row>
    <row r="325" spans="1:12" x14ac:dyDescent="0.25">
      <c r="A325">
        <v>17</v>
      </c>
      <c r="B325" s="1">
        <v>45872</v>
      </c>
      <c r="C325" t="s">
        <v>4</v>
      </c>
      <c r="D325">
        <v>4</v>
      </c>
      <c r="E325">
        <v>1</v>
      </c>
      <c r="F325" t="s">
        <v>52</v>
      </c>
      <c r="G325">
        <f t="shared" si="107"/>
        <v>7</v>
      </c>
      <c r="H325">
        <f t="shared" si="108"/>
        <v>3</v>
      </c>
      <c r="I325">
        <f t="shared" si="109"/>
        <v>10</v>
      </c>
      <c r="J325">
        <f t="shared" si="110"/>
        <v>0</v>
      </c>
      <c r="K325">
        <f t="shared" si="111"/>
        <v>0</v>
      </c>
      <c r="L325">
        <f t="shared" si="106"/>
        <v>3</v>
      </c>
    </row>
    <row r="326" spans="1:12" x14ac:dyDescent="0.25">
      <c r="A326">
        <v>17</v>
      </c>
      <c r="B326" s="1">
        <v>45872</v>
      </c>
      <c r="C326" t="s">
        <v>4</v>
      </c>
      <c r="D326">
        <v>5</v>
      </c>
      <c r="E326">
        <v>5</v>
      </c>
      <c r="F326" t="s">
        <v>59</v>
      </c>
      <c r="G326">
        <f t="shared" si="107"/>
        <v>6</v>
      </c>
      <c r="H326">
        <f t="shared" si="108"/>
        <v>1</v>
      </c>
      <c r="I326">
        <f t="shared" si="109"/>
        <v>7</v>
      </c>
      <c r="J326">
        <f t="shared" si="110"/>
        <v>0</v>
      </c>
      <c r="K326">
        <f t="shared" si="111"/>
        <v>0</v>
      </c>
      <c r="L326">
        <f>D326-E326</f>
        <v>0</v>
      </c>
    </row>
    <row r="327" spans="1:12" x14ac:dyDescent="0.25">
      <c r="A327">
        <v>17</v>
      </c>
      <c r="B327" s="1">
        <v>45872</v>
      </c>
      <c r="C327" t="s">
        <v>4</v>
      </c>
      <c r="D327">
        <v>6</v>
      </c>
      <c r="E327">
        <v>6</v>
      </c>
      <c r="F327" t="s">
        <v>63</v>
      </c>
      <c r="G327">
        <f t="shared" si="107"/>
        <v>5</v>
      </c>
      <c r="H327">
        <f t="shared" si="108"/>
        <v>0</v>
      </c>
      <c r="I327">
        <f t="shared" si="109"/>
        <v>5</v>
      </c>
      <c r="J327">
        <f t="shared" si="110"/>
        <v>0</v>
      </c>
      <c r="K327">
        <f t="shared" si="111"/>
        <v>0</v>
      </c>
      <c r="L327">
        <f t="shared" ref="L327:L329" si="112">D327-E327</f>
        <v>0</v>
      </c>
    </row>
    <row r="328" spans="1:12" x14ac:dyDescent="0.25">
      <c r="A328">
        <v>17</v>
      </c>
      <c r="B328" s="1">
        <v>45872</v>
      </c>
      <c r="C328" t="s">
        <v>4</v>
      </c>
      <c r="D328">
        <v>7</v>
      </c>
      <c r="E328">
        <v>8</v>
      </c>
      <c r="F328" t="s">
        <v>61</v>
      </c>
      <c r="G328">
        <f t="shared" si="107"/>
        <v>4</v>
      </c>
      <c r="H328">
        <f t="shared" si="108"/>
        <v>0</v>
      </c>
      <c r="I328">
        <f t="shared" si="109"/>
        <v>4</v>
      </c>
      <c r="J328">
        <f t="shared" si="110"/>
        <v>0</v>
      </c>
      <c r="K328">
        <f t="shared" si="111"/>
        <v>0</v>
      </c>
      <c r="L328">
        <f t="shared" si="112"/>
        <v>-1</v>
      </c>
    </row>
    <row r="329" spans="1:12" x14ac:dyDescent="0.25">
      <c r="A329">
        <v>17</v>
      </c>
      <c r="B329" s="1">
        <v>45872</v>
      </c>
      <c r="C329" t="s">
        <v>4</v>
      </c>
      <c r="D329">
        <v>8</v>
      </c>
      <c r="E329">
        <v>9</v>
      </c>
      <c r="F329" t="s">
        <v>66</v>
      </c>
      <c r="G329">
        <f t="shared" si="107"/>
        <v>3</v>
      </c>
      <c r="H329">
        <f t="shared" si="108"/>
        <v>0</v>
      </c>
      <c r="I329">
        <f t="shared" si="109"/>
        <v>3</v>
      </c>
      <c r="J329">
        <f t="shared" si="110"/>
        <v>0</v>
      </c>
      <c r="K329">
        <f t="shared" si="111"/>
        <v>0</v>
      </c>
      <c r="L329">
        <f t="shared" si="112"/>
        <v>-1</v>
      </c>
    </row>
    <row r="330" spans="1:12" x14ac:dyDescent="0.25">
      <c r="A330">
        <v>17</v>
      </c>
      <c r="B330" s="1">
        <v>45872</v>
      </c>
      <c r="C330" t="s">
        <v>4</v>
      </c>
      <c r="D330">
        <v>9</v>
      </c>
      <c r="E330">
        <v>7</v>
      </c>
      <c r="F330" t="s">
        <v>45</v>
      </c>
      <c r="G330">
        <f t="shared" si="107"/>
        <v>2</v>
      </c>
      <c r="H330">
        <f t="shared" si="108"/>
        <v>0</v>
      </c>
      <c r="I330">
        <f t="shared" si="109"/>
        <v>2</v>
      </c>
      <c r="J330">
        <f t="shared" si="110"/>
        <v>0</v>
      </c>
      <c r="K330">
        <f t="shared" si="111"/>
        <v>0</v>
      </c>
      <c r="L330">
        <f>D330-E330</f>
        <v>2</v>
      </c>
    </row>
    <row r="331" spans="1:12" x14ac:dyDescent="0.25">
      <c r="A331">
        <v>17</v>
      </c>
      <c r="B331" s="1">
        <v>45872</v>
      </c>
      <c r="C331" t="s">
        <v>4</v>
      </c>
      <c r="D331">
        <v>10</v>
      </c>
      <c r="E331">
        <v>11</v>
      </c>
      <c r="F331" t="s">
        <v>69</v>
      </c>
      <c r="G331">
        <f t="shared" si="107"/>
        <v>1</v>
      </c>
      <c r="H331">
        <f t="shared" si="108"/>
        <v>0</v>
      </c>
      <c r="I331">
        <f t="shared" si="109"/>
        <v>1</v>
      </c>
      <c r="J331">
        <f t="shared" si="110"/>
        <v>0</v>
      </c>
      <c r="K331">
        <f t="shared" si="111"/>
        <v>0</v>
      </c>
      <c r="L331">
        <f t="shared" ref="L331:L345" si="113">D331-E331</f>
        <v>-1</v>
      </c>
    </row>
    <row r="332" spans="1:12" x14ac:dyDescent="0.25">
      <c r="A332">
        <v>17</v>
      </c>
      <c r="B332" s="1">
        <v>45872</v>
      </c>
      <c r="C332" t="s">
        <v>15</v>
      </c>
      <c r="D332">
        <v>1</v>
      </c>
      <c r="E332">
        <v>3</v>
      </c>
      <c r="F332" t="s">
        <v>56</v>
      </c>
      <c r="G332">
        <f t="shared" si="107"/>
        <v>10</v>
      </c>
      <c r="H332">
        <f t="shared" si="108"/>
        <v>9</v>
      </c>
      <c r="I332">
        <f t="shared" si="109"/>
        <v>19</v>
      </c>
      <c r="J332">
        <f t="shared" si="110"/>
        <v>1</v>
      </c>
      <c r="K332">
        <f t="shared" si="111"/>
        <v>1</v>
      </c>
      <c r="L332">
        <f t="shared" si="113"/>
        <v>-2</v>
      </c>
    </row>
    <row r="333" spans="1:12" x14ac:dyDescent="0.25">
      <c r="A333">
        <v>17</v>
      </c>
      <c r="B333" s="1">
        <v>45872</v>
      </c>
      <c r="C333" t="s">
        <v>15</v>
      </c>
      <c r="D333">
        <v>2</v>
      </c>
      <c r="E333">
        <v>2</v>
      </c>
      <c r="F333" t="s">
        <v>53</v>
      </c>
      <c r="G333">
        <f t="shared" si="107"/>
        <v>9</v>
      </c>
      <c r="H333">
        <f t="shared" si="108"/>
        <v>7</v>
      </c>
      <c r="I333">
        <f t="shared" si="109"/>
        <v>16</v>
      </c>
      <c r="J333">
        <f t="shared" si="110"/>
        <v>0</v>
      </c>
      <c r="K333">
        <f t="shared" si="111"/>
        <v>1</v>
      </c>
      <c r="L333">
        <f t="shared" si="113"/>
        <v>0</v>
      </c>
    </row>
    <row r="334" spans="1:12" x14ac:dyDescent="0.25">
      <c r="A334">
        <v>17</v>
      </c>
      <c r="B334" s="1">
        <v>45872</v>
      </c>
      <c r="C334" t="s">
        <v>15</v>
      </c>
      <c r="D334">
        <v>3</v>
      </c>
      <c r="E334">
        <v>6</v>
      </c>
      <c r="F334" t="s">
        <v>64</v>
      </c>
      <c r="G334">
        <f t="shared" ref="G334:G353" si="114">11-D334</f>
        <v>8</v>
      </c>
      <c r="H334">
        <f t="shared" ref="H334:H353" si="115">IF(D334&lt;6,11-2*D334,0)</f>
        <v>5</v>
      </c>
      <c r="I334">
        <f t="shared" ref="I334:I353" si="116">G334+H334</f>
        <v>13</v>
      </c>
      <c r="J334">
        <f t="shared" si="110"/>
        <v>0</v>
      </c>
      <c r="K334">
        <f t="shared" si="111"/>
        <v>1</v>
      </c>
      <c r="L334">
        <f t="shared" si="113"/>
        <v>-3</v>
      </c>
    </row>
    <row r="335" spans="1:12" x14ac:dyDescent="0.25">
      <c r="A335">
        <v>17</v>
      </c>
      <c r="B335" s="1">
        <v>45872</v>
      </c>
      <c r="C335" t="s">
        <v>15</v>
      </c>
      <c r="D335">
        <v>4</v>
      </c>
      <c r="E335">
        <v>7</v>
      </c>
      <c r="F335" t="s">
        <v>65</v>
      </c>
      <c r="G335">
        <f t="shared" si="114"/>
        <v>7</v>
      </c>
      <c r="H335">
        <f t="shared" si="115"/>
        <v>3</v>
      </c>
      <c r="I335">
        <f t="shared" si="116"/>
        <v>10</v>
      </c>
      <c r="J335">
        <f t="shared" si="110"/>
        <v>0</v>
      </c>
      <c r="K335">
        <f t="shared" si="111"/>
        <v>0</v>
      </c>
      <c r="L335">
        <f t="shared" si="113"/>
        <v>-3</v>
      </c>
    </row>
    <row r="336" spans="1:12" x14ac:dyDescent="0.25">
      <c r="A336">
        <v>17</v>
      </c>
      <c r="B336" s="1">
        <v>45872</v>
      </c>
      <c r="C336" t="s">
        <v>15</v>
      </c>
      <c r="D336">
        <v>5</v>
      </c>
      <c r="E336">
        <v>1</v>
      </c>
      <c r="F336" t="s">
        <v>55</v>
      </c>
      <c r="G336">
        <f t="shared" si="114"/>
        <v>6</v>
      </c>
      <c r="H336">
        <f t="shared" si="115"/>
        <v>1</v>
      </c>
      <c r="I336">
        <f t="shared" si="116"/>
        <v>7</v>
      </c>
      <c r="J336">
        <f t="shared" si="110"/>
        <v>0</v>
      </c>
      <c r="K336">
        <f t="shared" si="111"/>
        <v>0</v>
      </c>
      <c r="L336">
        <f t="shared" si="113"/>
        <v>4</v>
      </c>
    </row>
    <row r="337" spans="1:12" x14ac:dyDescent="0.25">
      <c r="A337">
        <v>17</v>
      </c>
      <c r="B337" s="1">
        <v>45872</v>
      </c>
      <c r="C337" t="s">
        <v>15</v>
      </c>
      <c r="D337">
        <v>6</v>
      </c>
      <c r="E337">
        <v>9</v>
      </c>
      <c r="F337" t="s">
        <v>67</v>
      </c>
      <c r="G337">
        <f t="shared" si="114"/>
        <v>5</v>
      </c>
      <c r="H337">
        <f t="shared" si="115"/>
        <v>0</v>
      </c>
      <c r="I337">
        <f t="shared" si="116"/>
        <v>5</v>
      </c>
      <c r="J337">
        <f t="shared" si="110"/>
        <v>0</v>
      </c>
      <c r="K337">
        <f t="shared" si="111"/>
        <v>0</v>
      </c>
      <c r="L337">
        <f t="shared" si="113"/>
        <v>-3</v>
      </c>
    </row>
    <row r="338" spans="1:12" x14ac:dyDescent="0.25">
      <c r="A338">
        <v>17</v>
      </c>
      <c r="B338" s="1">
        <v>45872</v>
      </c>
      <c r="C338" t="s">
        <v>15</v>
      </c>
      <c r="D338">
        <v>7</v>
      </c>
      <c r="E338">
        <v>5</v>
      </c>
      <c r="F338" t="s">
        <v>62</v>
      </c>
      <c r="G338">
        <f t="shared" si="114"/>
        <v>4</v>
      </c>
      <c r="H338">
        <f t="shared" si="115"/>
        <v>0</v>
      </c>
      <c r="I338">
        <f t="shared" si="116"/>
        <v>4</v>
      </c>
      <c r="J338">
        <f t="shared" si="110"/>
        <v>0</v>
      </c>
      <c r="K338">
        <f t="shared" si="111"/>
        <v>0</v>
      </c>
      <c r="L338">
        <f t="shared" si="113"/>
        <v>2</v>
      </c>
    </row>
    <row r="339" spans="1:12" x14ac:dyDescent="0.25">
      <c r="A339">
        <v>17</v>
      </c>
      <c r="B339" s="1">
        <v>45872</v>
      </c>
      <c r="C339" t="s">
        <v>15</v>
      </c>
      <c r="D339">
        <v>8</v>
      </c>
      <c r="E339">
        <v>4</v>
      </c>
      <c r="F339" t="s">
        <v>47</v>
      </c>
      <c r="G339">
        <f t="shared" si="114"/>
        <v>3</v>
      </c>
      <c r="H339">
        <f t="shared" si="115"/>
        <v>0</v>
      </c>
      <c r="I339">
        <f t="shared" si="116"/>
        <v>3</v>
      </c>
      <c r="J339">
        <f t="shared" si="110"/>
        <v>0</v>
      </c>
      <c r="K339">
        <f t="shared" si="111"/>
        <v>0</v>
      </c>
      <c r="L339">
        <f t="shared" si="113"/>
        <v>4</v>
      </c>
    </row>
    <row r="340" spans="1:12" x14ac:dyDescent="0.25">
      <c r="A340">
        <v>17</v>
      </c>
      <c r="B340" s="1">
        <v>45872</v>
      </c>
      <c r="C340" t="s">
        <v>15</v>
      </c>
      <c r="D340">
        <v>9</v>
      </c>
      <c r="E340">
        <v>10</v>
      </c>
      <c r="F340" t="s">
        <v>68</v>
      </c>
      <c r="G340">
        <f t="shared" si="114"/>
        <v>2</v>
      </c>
      <c r="H340">
        <f t="shared" si="115"/>
        <v>0</v>
      </c>
      <c r="I340">
        <f t="shared" si="116"/>
        <v>2</v>
      </c>
      <c r="J340">
        <f t="shared" si="110"/>
        <v>0</v>
      </c>
      <c r="K340">
        <f t="shared" si="111"/>
        <v>0</v>
      </c>
      <c r="L340">
        <f t="shared" si="113"/>
        <v>-1</v>
      </c>
    </row>
    <row r="341" spans="1:12" x14ac:dyDescent="0.25">
      <c r="A341">
        <v>17</v>
      </c>
      <c r="B341" s="1">
        <v>45872</v>
      </c>
      <c r="C341" t="s">
        <v>15</v>
      </c>
      <c r="D341">
        <v>10</v>
      </c>
      <c r="E341">
        <v>8</v>
      </c>
      <c r="F341" t="s">
        <v>60</v>
      </c>
      <c r="G341">
        <f t="shared" si="114"/>
        <v>1</v>
      </c>
      <c r="H341">
        <f t="shared" si="115"/>
        <v>0</v>
      </c>
      <c r="I341">
        <f t="shared" si="116"/>
        <v>1</v>
      </c>
      <c r="J341">
        <f t="shared" si="110"/>
        <v>0</v>
      </c>
      <c r="K341">
        <f t="shared" si="111"/>
        <v>0</v>
      </c>
      <c r="L341">
        <f t="shared" si="113"/>
        <v>2</v>
      </c>
    </row>
    <row r="342" spans="1:12" x14ac:dyDescent="0.25">
      <c r="A342">
        <v>18</v>
      </c>
      <c r="B342" s="1">
        <v>45879</v>
      </c>
      <c r="C342" t="s">
        <v>4</v>
      </c>
      <c r="D342">
        <v>1</v>
      </c>
      <c r="E342">
        <v>1</v>
      </c>
      <c r="F342" t="s">
        <v>48</v>
      </c>
      <c r="G342">
        <f t="shared" si="114"/>
        <v>10</v>
      </c>
      <c r="H342">
        <f t="shared" si="115"/>
        <v>9</v>
      </c>
      <c r="I342">
        <f t="shared" si="116"/>
        <v>19</v>
      </c>
      <c r="J342">
        <f t="shared" ref="J342:J361" si="117">COUNTIF(D342,"=1")</f>
        <v>1</v>
      </c>
      <c r="K342">
        <f t="shared" ref="K342:K361" si="118">COUNTIF(D342,"&lt;4")</f>
        <v>1</v>
      </c>
      <c r="L342">
        <f t="shared" si="113"/>
        <v>0</v>
      </c>
    </row>
    <row r="343" spans="1:12" x14ac:dyDescent="0.25">
      <c r="A343">
        <v>18</v>
      </c>
      <c r="B343" s="1">
        <v>45879</v>
      </c>
      <c r="C343" t="s">
        <v>4</v>
      </c>
      <c r="D343">
        <v>2</v>
      </c>
      <c r="E343">
        <v>3</v>
      </c>
      <c r="F343" t="s">
        <v>58</v>
      </c>
      <c r="G343">
        <f t="shared" si="114"/>
        <v>9</v>
      </c>
      <c r="H343">
        <f t="shared" si="115"/>
        <v>7</v>
      </c>
      <c r="I343">
        <f t="shared" si="116"/>
        <v>16</v>
      </c>
      <c r="J343">
        <f t="shared" si="117"/>
        <v>0</v>
      </c>
      <c r="K343">
        <f t="shared" si="118"/>
        <v>1</v>
      </c>
      <c r="L343">
        <f t="shared" si="113"/>
        <v>-1</v>
      </c>
    </row>
    <row r="344" spans="1:12" x14ac:dyDescent="0.25">
      <c r="A344">
        <v>18</v>
      </c>
      <c r="B344" s="1">
        <v>45879</v>
      </c>
      <c r="C344" t="s">
        <v>4</v>
      </c>
      <c r="D344">
        <v>3</v>
      </c>
      <c r="E344">
        <v>2</v>
      </c>
      <c r="F344" t="s">
        <v>51</v>
      </c>
      <c r="G344">
        <f t="shared" si="114"/>
        <v>8</v>
      </c>
      <c r="H344">
        <f t="shared" si="115"/>
        <v>5</v>
      </c>
      <c r="I344">
        <f t="shared" si="116"/>
        <v>13</v>
      </c>
      <c r="J344">
        <f t="shared" si="117"/>
        <v>0</v>
      </c>
      <c r="K344">
        <f t="shared" si="118"/>
        <v>1</v>
      </c>
      <c r="L344">
        <f t="shared" si="113"/>
        <v>1</v>
      </c>
    </row>
    <row r="345" spans="1:12" x14ac:dyDescent="0.25">
      <c r="A345">
        <v>18</v>
      </c>
      <c r="B345" s="1">
        <v>45879</v>
      </c>
      <c r="C345" t="s">
        <v>4</v>
      </c>
      <c r="D345">
        <v>4</v>
      </c>
      <c r="E345">
        <v>5</v>
      </c>
      <c r="F345" t="s">
        <v>59</v>
      </c>
      <c r="G345">
        <f t="shared" si="114"/>
        <v>7</v>
      </c>
      <c r="H345">
        <f t="shared" si="115"/>
        <v>3</v>
      </c>
      <c r="I345">
        <f t="shared" si="116"/>
        <v>10</v>
      </c>
      <c r="J345">
        <f t="shared" si="117"/>
        <v>0</v>
      </c>
      <c r="K345">
        <f t="shared" si="118"/>
        <v>0</v>
      </c>
      <c r="L345">
        <f t="shared" si="113"/>
        <v>-1</v>
      </c>
    </row>
    <row r="346" spans="1:12" x14ac:dyDescent="0.25">
      <c r="A346">
        <v>18</v>
      </c>
      <c r="B346" s="1">
        <v>45879</v>
      </c>
      <c r="C346" t="s">
        <v>4</v>
      </c>
      <c r="D346">
        <v>5</v>
      </c>
      <c r="E346">
        <v>6</v>
      </c>
      <c r="F346" t="s">
        <v>63</v>
      </c>
      <c r="G346">
        <f t="shared" si="114"/>
        <v>6</v>
      </c>
      <c r="H346">
        <f t="shared" si="115"/>
        <v>1</v>
      </c>
      <c r="I346">
        <f t="shared" si="116"/>
        <v>7</v>
      </c>
      <c r="J346">
        <f t="shared" si="117"/>
        <v>0</v>
      </c>
      <c r="K346">
        <f t="shared" si="118"/>
        <v>0</v>
      </c>
      <c r="L346">
        <f>D346-E346</f>
        <v>-1</v>
      </c>
    </row>
    <row r="347" spans="1:12" x14ac:dyDescent="0.25">
      <c r="A347">
        <v>18</v>
      </c>
      <c r="B347" s="1">
        <v>45879</v>
      </c>
      <c r="C347" t="s">
        <v>4</v>
      </c>
      <c r="D347">
        <v>6</v>
      </c>
      <c r="E347">
        <v>4</v>
      </c>
      <c r="F347" t="s">
        <v>52</v>
      </c>
      <c r="G347">
        <f t="shared" si="114"/>
        <v>5</v>
      </c>
      <c r="H347">
        <f t="shared" si="115"/>
        <v>0</v>
      </c>
      <c r="I347">
        <f t="shared" si="116"/>
        <v>5</v>
      </c>
      <c r="J347">
        <f t="shared" si="117"/>
        <v>0</v>
      </c>
      <c r="K347">
        <f t="shared" si="118"/>
        <v>0</v>
      </c>
      <c r="L347">
        <f t="shared" ref="L347:L349" si="119">D347-E347</f>
        <v>2</v>
      </c>
    </row>
    <row r="348" spans="1:12" x14ac:dyDescent="0.25">
      <c r="A348">
        <v>18</v>
      </c>
      <c r="B348" s="1">
        <v>45879</v>
      </c>
      <c r="C348" t="s">
        <v>4</v>
      </c>
      <c r="D348">
        <v>7</v>
      </c>
      <c r="E348">
        <v>7</v>
      </c>
      <c r="F348" t="s">
        <v>61</v>
      </c>
      <c r="G348">
        <f t="shared" si="114"/>
        <v>4</v>
      </c>
      <c r="H348">
        <f t="shared" si="115"/>
        <v>0</v>
      </c>
      <c r="I348">
        <f t="shared" si="116"/>
        <v>4</v>
      </c>
      <c r="J348">
        <f t="shared" si="117"/>
        <v>0</v>
      </c>
      <c r="K348">
        <f t="shared" si="118"/>
        <v>0</v>
      </c>
      <c r="L348">
        <f t="shared" si="119"/>
        <v>0</v>
      </c>
    </row>
    <row r="349" spans="1:12" x14ac:dyDescent="0.25">
      <c r="A349">
        <v>18</v>
      </c>
      <c r="B349" s="1">
        <v>45879</v>
      </c>
      <c r="C349" t="s">
        <v>4</v>
      </c>
      <c r="D349">
        <v>8</v>
      </c>
      <c r="E349">
        <v>8</v>
      </c>
      <c r="F349" t="s">
        <v>66</v>
      </c>
      <c r="G349">
        <f t="shared" si="114"/>
        <v>3</v>
      </c>
      <c r="H349">
        <f t="shared" si="115"/>
        <v>0</v>
      </c>
      <c r="I349">
        <f t="shared" si="116"/>
        <v>3</v>
      </c>
      <c r="J349">
        <f t="shared" si="117"/>
        <v>0</v>
      </c>
      <c r="K349">
        <f t="shared" si="118"/>
        <v>0</v>
      </c>
      <c r="L349">
        <f t="shared" si="119"/>
        <v>0</v>
      </c>
    </row>
    <row r="350" spans="1:12" x14ac:dyDescent="0.25">
      <c r="A350">
        <v>18</v>
      </c>
      <c r="B350" s="1">
        <v>45879</v>
      </c>
      <c r="C350" t="s">
        <v>4</v>
      </c>
      <c r="D350">
        <v>9</v>
      </c>
      <c r="E350">
        <v>10</v>
      </c>
      <c r="F350" t="s">
        <v>69</v>
      </c>
      <c r="G350">
        <f t="shared" si="114"/>
        <v>2</v>
      </c>
      <c r="H350">
        <f t="shared" si="115"/>
        <v>0</v>
      </c>
      <c r="I350">
        <f t="shared" si="116"/>
        <v>2</v>
      </c>
      <c r="J350">
        <f t="shared" si="117"/>
        <v>0</v>
      </c>
      <c r="K350">
        <f t="shared" si="118"/>
        <v>0</v>
      </c>
      <c r="L350">
        <f>D350-E350</f>
        <v>-1</v>
      </c>
    </row>
    <row r="351" spans="1:12" x14ac:dyDescent="0.25">
      <c r="A351">
        <v>18</v>
      </c>
      <c r="B351" s="1">
        <v>45879</v>
      </c>
      <c r="C351" t="s">
        <v>4</v>
      </c>
      <c r="D351">
        <v>10</v>
      </c>
      <c r="E351">
        <v>9</v>
      </c>
      <c r="F351" t="s">
        <v>45</v>
      </c>
      <c r="G351">
        <f t="shared" si="114"/>
        <v>1</v>
      </c>
      <c r="H351">
        <f t="shared" si="115"/>
        <v>0</v>
      </c>
      <c r="I351">
        <f t="shared" si="116"/>
        <v>1</v>
      </c>
      <c r="J351">
        <f t="shared" si="117"/>
        <v>0</v>
      </c>
      <c r="K351">
        <f t="shared" si="118"/>
        <v>0</v>
      </c>
      <c r="L351">
        <f t="shared" ref="L351:L365" si="120">D351-E351</f>
        <v>1</v>
      </c>
    </row>
    <row r="352" spans="1:12" x14ac:dyDescent="0.25">
      <c r="A352">
        <v>18</v>
      </c>
      <c r="B352" s="1">
        <v>45879</v>
      </c>
      <c r="C352" t="s">
        <v>15</v>
      </c>
      <c r="D352">
        <v>1</v>
      </c>
      <c r="E352">
        <v>1</v>
      </c>
      <c r="F352" t="s">
        <v>56</v>
      </c>
      <c r="G352">
        <f t="shared" si="114"/>
        <v>10</v>
      </c>
      <c r="H352">
        <f t="shared" si="115"/>
        <v>9</v>
      </c>
      <c r="I352">
        <f t="shared" si="116"/>
        <v>19</v>
      </c>
      <c r="J352">
        <f t="shared" si="117"/>
        <v>1</v>
      </c>
      <c r="K352">
        <f t="shared" si="118"/>
        <v>1</v>
      </c>
      <c r="L352">
        <f t="shared" si="120"/>
        <v>0</v>
      </c>
    </row>
    <row r="353" spans="1:12" x14ac:dyDescent="0.25">
      <c r="A353">
        <v>18</v>
      </c>
      <c r="B353" s="1">
        <v>45879</v>
      </c>
      <c r="C353" t="s">
        <v>15</v>
      </c>
      <c r="D353">
        <v>2</v>
      </c>
      <c r="E353">
        <v>3</v>
      </c>
      <c r="F353" t="s">
        <v>64</v>
      </c>
      <c r="G353">
        <f t="shared" si="114"/>
        <v>9</v>
      </c>
      <c r="H353">
        <f t="shared" si="115"/>
        <v>7</v>
      </c>
      <c r="I353">
        <f t="shared" si="116"/>
        <v>16</v>
      </c>
      <c r="J353">
        <f t="shared" si="117"/>
        <v>0</v>
      </c>
      <c r="K353">
        <f t="shared" si="118"/>
        <v>1</v>
      </c>
      <c r="L353">
        <f t="shared" si="120"/>
        <v>-1</v>
      </c>
    </row>
    <row r="354" spans="1:12" x14ac:dyDescent="0.25">
      <c r="A354">
        <v>18</v>
      </c>
      <c r="B354" s="1">
        <v>45879</v>
      </c>
      <c r="C354" t="s">
        <v>15</v>
      </c>
      <c r="D354">
        <v>3</v>
      </c>
      <c r="E354">
        <v>4</v>
      </c>
      <c r="F354" t="s">
        <v>65</v>
      </c>
      <c r="G354">
        <f t="shared" ref="G354:G373" si="121">11-D354</f>
        <v>8</v>
      </c>
      <c r="H354">
        <f t="shared" ref="H354:H373" si="122">IF(D354&lt;6,11-2*D354,0)</f>
        <v>5</v>
      </c>
      <c r="I354">
        <f t="shared" ref="I354:I373" si="123">G354+H354</f>
        <v>13</v>
      </c>
      <c r="J354">
        <f t="shared" si="117"/>
        <v>0</v>
      </c>
      <c r="K354">
        <f t="shared" si="118"/>
        <v>1</v>
      </c>
      <c r="L354">
        <f t="shared" si="120"/>
        <v>-1</v>
      </c>
    </row>
    <row r="355" spans="1:12" x14ac:dyDescent="0.25">
      <c r="A355">
        <v>18</v>
      </c>
      <c r="B355" s="1">
        <v>45879</v>
      </c>
      <c r="C355" t="s">
        <v>15</v>
      </c>
      <c r="D355">
        <v>4</v>
      </c>
      <c r="E355">
        <v>2</v>
      </c>
      <c r="F355" t="s">
        <v>53</v>
      </c>
      <c r="G355">
        <f t="shared" si="121"/>
        <v>7</v>
      </c>
      <c r="H355">
        <f t="shared" si="122"/>
        <v>3</v>
      </c>
      <c r="I355">
        <f t="shared" si="123"/>
        <v>10</v>
      </c>
      <c r="J355">
        <f t="shared" si="117"/>
        <v>0</v>
      </c>
      <c r="K355">
        <f t="shared" si="118"/>
        <v>0</v>
      </c>
      <c r="L355">
        <f t="shared" si="120"/>
        <v>2</v>
      </c>
    </row>
    <row r="356" spans="1:12" x14ac:dyDescent="0.25">
      <c r="A356">
        <v>18</v>
      </c>
      <c r="B356" s="1">
        <v>45879</v>
      </c>
      <c r="C356" t="s">
        <v>15</v>
      </c>
      <c r="D356">
        <v>5</v>
      </c>
      <c r="E356">
        <v>6</v>
      </c>
      <c r="F356" t="s">
        <v>67</v>
      </c>
      <c r="G356">
        <f t="shared" si="121"/>
        <v>6</v>
      </c>
      <c r="H356">
        <f t="shared" si="122"/>
        <v>1</v>
      </c>
      <c r="I356">
        <f t="shared" si="123"/>
        <v>7</v>
      </c>
      <c r="J356">
        <f t="shared" si="117"/>
        <v>0</v>
      </c>
      <c r="K356">
        <f t="shared" si="118"/>
        <v>0</v>
      </c>
      <c r="L356">
        <f t="shared" si="120"/>
        <v>-1</v>
      </c>
    </row>
    <row r="357" spans="1:12" x14ac:dyDescent="0.25">
      <c r="A357">
        <v>18</v>
      </c>
      <c r="B357" s="1">
        <v>45879</v>
      </c>
      <c r="C357" t="s">
        <v>15</v>
      </c>
      <c r="D357">
        <v>6</v>
      </c>
      <c r="E357">
        <v>5</v>
      </c>
      <c r="F357" t="s">
        <v>55</v>
      </c>
      <c r="G357">
        <f t="shared" si="121"/>
        <v>5</v>
      </c>
      <c r="H357">
        <f t="shared" si="122"/>
        <v>0</v>
      </c>
      <c r="I357">
        <f t="shared" si="123"/>
        <v>5</v>
      </c>
      <c r="J357">
        <f t="shared" si="117"/>
        <v>0</v>
      </c>
      <c r="K357">
        <f t="shared" si="118"/>
        <v>0</v>
      </c>
      <c r="L357">
        <f t="shared" si="120"/>
        <v>1</v>
      </c>
    </row>
    <row r="358" spans="1:12" x14ac:dyDescent="0.25">
      <c r="A358">
        <v>18</v>
      </c>
      <c r="B358" s="1">
        <v>45879</v>
      </c>
      <c r="C358" t="s">
        <v>15</v>
      </c>
      <c r="D358">
        <v>7</v>
      </c>
      <c r="E358">
        <v>7</v>
      </c>
      <c r="F358" t="s">
        <v>62</v>
      </c>
      <c r="G358">
        <f t="shared" si="121"/>
        <v>4</v>
      </c>
      <c r="H358">
        <f t="shared" si="122"/>
        <v>0</v>
      </c>
      <c r="I358">
        <f t="shared" si="123"/>
        <v>4</v>
      </c>
      <c r="J358">
        <f t="shared" si="117"/>
        <v>0</v>
      </c>
      <c r="K358">
        <f t="shared" si="118"/>
        <v>0</v>
      </c>
      <c r="L358">
        <f t="shared" si="120"/>
        <v>0</v>
      </c>
    </row>
    <row r="359" spans="1:12" x14ac:dyDescent="0.25">
      <c r="A359">
        <v>18</v>
      </c>
      <c r="B359" s="1">
        <v>45879</v>
      </c>
      <c r="C359" t="s">
        <v>15</v>
      </c>
      <c r="D359">
        <v>8</v>
      </c>
      <c r="E359">
        <v>9</v>
      </c>
      <c r="F359" t="s">
        <v>68</v>
      </c>
      <c r="G359">
        <f t="shared" si="121"/>
        <v>3</v>
      </c>
      <c r="H359">
        <f t="shared" si="122"/>
        <v>0</v>
      </c>
      <c r="I359">
        <f t="shared" si="123"/>
        <v>3</v>
      </c>
      <c r="J359">
        <f t="shared" si="117"/>
        <v>0</v>
      </c>
      <c r="K359">
        <f t="shared" si="118"/>
        <v>0</v>
      </c>
      <c r="L359">
        <f t="shared" si="120"/>
        <v>-1</v>
      </c>
    </row>
    <row r="360" spans="1:12" x14ac:dyDescent="0.25">
      <c r="A360">
        <v>18</v>
      </c>
      <c r="B360" s="1">
        <v>45879</v>
      </c>
      <c r="C360" t="s">
        <v>15</v>
      </c>
      <c r="D360">
        <v>9</v>
      </c>
      <c r="E360">
        <v>11</v>
      </c>
      <c r="F360" t="s">
        <v>70</v>
      </c>
      <c r="G360">
        <f t="shared" si="121"/>
        <v>2</v>
      </c>
      <c r="H360">
        <f t="shared" si="122"/>
        <v>0</v>
      </c>
      <c r="I360">
        <f t="shared" si="123"/>
        <v>2</v>
      </c>
      <c r="J360">
        <f t="shared" si="117"/>
        <v>0</v>
      </c>
      <c r="K360">
        <f t="shared" si="118"/>
        <v>0</v>
      </c>
      <c r="L360">
        <f t="shared" si="120"/>
        <v>-2</v>
      </c>
    </row>
    <row r="361" spans="1:12" x14ac:dyDescent="0.25">
      <c r="A361">
        <v>18</v>
      </c>
      <c r="B361" s="1">
        <v>45879</v>
      </c>
      <c r="C361" t="s">
        <v>15</v>
      </c>
      <c r="D361">
        <v>10</v>
      </c>
      <c r="E361">
        <v>11</v>
      </c>
      <c r="F361" t="s">
        <v>71</v>
      </c>
      <c r="G361">
        <f t="shared" si="121"/>
        <v>1</v>
      </c>
      <c r="H361">
        <f t="shared" si="122"/>
        <v>0</v>
      </c>
      <c r="I361">
        <f t="shared" si="123"/>
        <v>1</v>
      </c>
      <c r="J361">
        <f t="shared" si="117"/>
        <v>0</v>
      </c>
      <c r="K361">
        <f t="shared" si="118"/>
        <v>0</v>
      </c>
      <c r="L361">
        <f t="shared" si="120"/>
        <v>-1</v>
      </c>
    </row>
    <row r="362" spans="1:12" x14ac:dyDescent="0.25">
      <c r="A362">
        <v>19</v>
      </c>
      <c r="B362" s="1">
        <v>45893</v>
      </c>
      <c r="C362" t="s">
        <v>4</v>
      </c>
      <c r="D362">
        <v>1</v>
      </c>
      <c r="E362">
        <v>1</v>
      </c>
      <c r="F362" t="s">
        <v>48</v>
      </c>
      <c r="G362">
        <f t="shared" si="121"/>
        <v>10</v>
      </c>
      <c r="H362">
        <f t="shared" si="122"/>
        <v>9</v>
      </c>
      <c r="I362">
        <f t="shared" si="123"/>
        <v>19</v>
      </c>
      <c r="J362">
        <f t="shared" ref="J362:J381" si="124">COUNTIF(D362,"=1")</f>
        <v>1</v>
      </c>
      <c r="K362">
        <f t="shared" ref="K362:K381" si="125">COUNTIF(D362,"&lt;4")</f>
        <v>1</v>
      </c>
      <c r="L362">
        <f t="shared" si="120"/>
        <v>0</v>
      </c>
    </row>
    <row r="363" spans="1:12" x14ac:dyDescent="0.25">
      <c r="A363">
        <v>19</v>
      </c>
      <c r="B363" s="1">
        <v>45893</v>
      </c>
      <c r="C363" t="s">
        <v>4</v>
      </c>
      <c r="D363">
        <v>2</v>
      </c>
      <c r="E363">
        <v>2</v>
      </c>
      <c r="F363" t="s">
        <v>58</v>
      </c>
      <c r="G363">
        <f t="shared" si="121"/>
        <v>9</v>
      </c>
      <c r="H363">
        <f t="shared" si="122"/>
        <v>7</v>
      </c>
      <c r="I363">
        <f t="shared" si="123"/>
        <v>16</v>
      </c>
      <c r="J363">
        <f t="shared" si="124"/>
        <v>0</v>
      </c>
      <c r="K363">
        <f t="shared" si="125"/>
        <v>1</v>
      </c>
      <c r="L363">
        <f t="shared" si="120"/>
        <v>0</v>
      </c>
    </row>
    <row r="364" spans="1:12" x14ac:dyDescent="0.25">
      <c r="A364">
        <v>19</v>
      </c>
      <c r="B364" s="1">
        <v>45893</v>
      </c>
      <c r="C364" t="s">
        <v>4</v>
      </c>
      <c r="D364">
        <v>3</v>
      </c>
      <c r="E364">
        <v>4</v>
      </c>
      <c r="F364" t="s">
        <v>59</v>
      </c>
      <c r="G364">
        <f t="shared" si="121"/>
        <v>8</v>
      </c>
      <c r="H364">
        <f t="shared" si="122"/>
        <v>5</v>
      </c>
      <c r="I364">
        <f t="shared" si="123"/>
        <v>13</v>
      </c>
      <c r="J364">
        <f t="shared" si="124"/>
        <v>0</v>
      </c>
      <c r="K364">
        <f t="shared" si="125"/>
        <v>1</v>
      </c>
      <c r="L364">
        <f t="shared" si="120"/>
        <v>-1</v>
      </c>
    </row>
    <row r="365" spans="1:12" x14ac:dyDescent="0.25">
      <c r="A365">
        <v>19</v>
      </c>
      <c r="B365" s="1">
        <v>45893</v>
      </c>
      <c r="C365" t="s">
        <v>4</v>
      </c>
      <c r="D365">
        <v>4</v>
      </c>
      <c r="E365">
        <v>5</v>
      </c>
      <c r="F365" t="s">
        <v>63</v>
      </c>
      <c r="G365">
        <f t="shared" si="121"/>
        <v>7</v>
      </c>
      <c r="H365">
        <f t="shared" si="122"/>
        <v>3</v>
      </c>
      <c r="I365">
        <f t="shared" si="123"/>
        <v>10</v>
      </c>
      <c r="J365">
        <f t="shared" si="124"/>
        <v>0</v>
      </c>
      <c r="K365">
        <f t="shared" si="125"/>
        <v>0</v>
      </c>
      <c r="L365">
        <f t="shared" si="120"/>
        <v>-1</v>
      </c>
    </row>
    <row r="366" spans="1:12" x14ac:dyDescent="0.25">
      <c r="A366">
        <v>19</v>
      </c>
      <c r="B366" s="1">
        <v>45893</v>
      </c>
      <c r="C366" t="s">
        <v>4</v>
      </c>
      <c r="D366">
        <v>5</v>
      </c>
      <c r="E366">
        <v>3</v>
      </c>
      <c r="F366" t="s">
        <v>51</v>
      </c>
      <c r="G366">
        <f t="shared" si="121"/>
        <v>6</v>
      </c>
      <c r="H366">
        <f t="shared" si="122"/>
        <v>1</v>
      </c>
      <c r="I366">
        <f t="shared" si="123"/>
        <v>7</v>
      </c>
      <c r="J366">
        <f t="shared" si="124"/>
        <v>0</v>
      </c>
      <c r="K366">
        <f t="shared" si="125"/>
        <v>0</v>
      </c>
      <c r="L366">
        <f>D366-E366</f>
        <v>2</v>
      </c>
    </row>
    <row r="367" spans="1:12" x14ac:dyDescent="0.25">
      <c r="A367">
        <v>19</v>
      </c>
      <c r="B367" s="1">
        <v>45893</v>
      </c>
      <c r="C367" t="s">
        <v>4</v>
      </c>
      <c r="D367">
        <v>6</v>
      </c>
      <c r="E367">
        <v>7</v>
      </c>
      <c r="F367" t="s">
        <v>61</v>
      </c>
      <c r="G367">
        <f t="shared" si="121"/>
        <v>5</v>
      </c>
      <c r="H367">
        <f t="shared" si="122"/>
        <v>0</v>
      </c>
      <c r="I367">
        <f t="shared" si="123"/>
        <v>5</v>
      </c>
      <c r="J367">
        <f t="shared" si="124"/>
        <v>0</v>
      </c>
      <c r="K367">
        <f t="shared" si="125"/>
        <v>0</v>
      </c>
      <c r="L367">
        <f t="shared" ref="L367:L369" si="126">D367-E367</f>
        <v>-1</v>
      </c>
    </row>
    <row r="368" spans="1:12" x14ac:dyDescent="0.25">
      <c r="A368">
        <v>19</v>
      </c>
      <c r="B368" s="1">
        <v>45893</v>
      </c>
      <c r="C368" t="s">
        <v>4</v>
      </c>
      <c r="D368">
        <v>7</v>
      </c>
      <c r="E368">
        <v>8</v>
      </c>
      <c r="F368" t="s">
        <v>66</v>
      </c>
      <c r="G368">
        <f t="shared" si="121"/>
        <v>4</v>
      </c>
      <c r="H368">
        <f t="shared" si="122"/>
        <v>0</v>
      </c>
      <c r="I368">
        <f t="shared" si="123"/>
        <v>4</v>
      </c>
      <c r="J368">
        <f t="shared" si="124"/>
        <v>0</v>
      </c>
      <c r="K368">
        <f t="shared" si="125"/>
        <v>0</v>
      </c>
      <c r="L368">
        <f t="shared" si="126"/>
        <v>-1</v>
      </c>
    </row>
    <row r="369" spans="1:12" x14ac:dyDescent="0.25">
      <c r="A369">
        <v>19</v>
      </c>
      <c r="B369" s="1">
        <v>45893</v>
      </c>
      <c r="C369" t="s">
        <v>4</v>
      </c>
      <c r="D369">
        <v>8</v>
      </c>
      <c r="E369">
        <v>6</v>
      </c>
      <c r="F369" t="s">
        <v>52</v>
      </c>
      <c r="G369">
        <f t="shared" si="121"/>
        <v>3</v>
      </c>
      <c r="H369">
        <f t="shared" si="122"/>
        <v>0</v>
      </c>
      <c r="I369">
        <f t="shared" si="123"/>
        <v>3</v>
      </c>
      <c r="J369">
        <f t="shared" si="124"/>
        <v>0</v>
      </c>
      <c r="K369">
        <f t="shared" si="125"/>
        <v>0</v>
      </c>
      <c r="L369">
        <f t="shared" si="126"/>
        <v>2</v>
      </c>
    </row>
    <row r="370" spans="1:12" x14ac:dyDescent="0.25">
      <c r="A370">
        <v>19</v>
      </c>
      <c r="B370" s="1">
        <v>45893</v>
      </c>
      <c r="C370" t="s">
        <v>4</v>
      </c>
      <c r="D370">
        <v>9</v>
      </c>
      <c r="E370">
        <v>9</v>
      </c>
      <c r="F370" t="s">
        <v>69</v>
      </c>
      <c r="G370">
        <f t="shared" si="121"/>
        <v>2</v>
      </c>
      <c r="H370">
        <f t="shared" si="122"/>
        <v>0</v>
      </c>
      <c r="I370">
        <f t="shared" si="123"/>
        <v>2</v>
      </c>
      <c r="J370">
        <f t="shared" si="124"/>
        <v>0</v>
      </c>
      <c r="K370">
        <f t="shared" si="125"/>
        <v>0</v>
      </c>
      <c r="L370">
        <f>D370-E370</f>
        <v>0</v>
      </c>
    </row>
    <row r="371" spans="1:12" x14ac:dyDescent="0.25">
      <c r="A371">
        <v>19</v>
      </c>
      <c r="B371" s="1">
        <v>45893</v>
      </c>
      <c r="C371" t="s">
        <v>4</v>
      </c>
      <c r="D371">
        <v>10</v>
      </c>
      <c r="E371">
        <v>10</v>
      </c>
      <c r="F371" t="s">
        <v>45</v>
      </c>
      <c r="G371">
        <f t="shared" si="121"/>
        <v>1</v>
      </c>
      <c r="H371">
        <f t="shared" si="122"/>
        <v>0</v>
      </c>
      <c r="I371">
        <f t="shared" si="123"/>
        <v>1</v>
      </c>
      <c r="J371">
        <f t="shared" si="124"/>
        <v>0</v>
      </c>
      <c r="K371">
        <f t="shared" si="125"/>
        <v>0</v>
      </c>
      <c r="L371">
        <f t="shared" ref="L371:L385" si="127">D371-E371</f>
        <v>0</v>
      </c>
    </row>
    <row r="372" spans="1:12" x14ac:dyDescent="0.25">
      <c r="A372">
        <v>19</v>
      </c>
      <c r="B372" s="1">
        <v>45893</v>
      </c>
      <c r="C372" t="s">
        <v>15</v>
      </c>
      <c r="D372">
        <v>1</v>
      </c>
      <c r="E372">
        <v>1</v>
      </c>
      <c r="F372" t="s">
        <v>56</v>
      </c>
      <c r="G372">
        <f t="shared" si="121"/>
        <v>10</v>
      </c>
      <c r="H372">
        <f t="shared" si="122"/>
        <v>9</v>
      </c>
      <c r="I372">
        <f t="shared" si="123"/>
        <v>19</v>
      </c>
      <c r="J372">
        <f t="shared" si="124"/>
        <v>1</v>
      </c>
      <c r="K372">
        <f t="shared" si="125"/>
        <v>1</v>
      </c>
      <c r="L372">
        <f t="shared" si="127"/>
        <v>0</v>
      </c>
    </row>
    <row r="373" spans="1:12" x14ac:dyDescent="0.25">
      <c r="A373">
        <v>19</v>
      </c>
      <c r="B373" s="1">
        <v>45893</v>
      </c>
      <c r="C373" t="s">
        <v>15</v>
      </c>
      <c r="D373">
        <v>2</v>
      </c>
      <c r="E373">
        <v>3</v>
      </c>
      <c r="F373" t="s">
        <v>65</v>
      </c>
      <c r="G373">
        <f t="shared" si="121"/>
        <v>9</v>
      </c>
      <c r="H373">
        <f t="shared" si="122"/>
        <v>7</v>
      </c>
      <c r="I373">
        <f t="shared" si="123"/>
        <v>16</v>
      </c>
      <c r="J373">
        <f t="shared" si="124"/>
        <v>0</v>
      </c>
      <c r="K373">
        <f t="shared" si="125"/>
        <v>1</v>
      </c>
      <c r="L373">
        <f t="shared" si="127"/>
        <v>-1</v>
      </c>
    </row>
    <row r="374" spans="1:12" x14ac:dyDescent="0.25">
      <c r="A374">
        <v>19</v>
      </c>
      <c r="B374" s="1">
        <v>45893</v>
      </c>
      <c r="C374" t="s">
        <v>15</v>
      </c>
      <c r="D374">
        <v>3</v>
      </c>
      <c r="E374">
        <v>2</v>
      </c>
      <c r="F374" t="s">
        <v>64</v>
      </c>
      <c r="G374">
        <f t="shared" ref="G374:G393" si="128">11-D374</f>
        <v>8</v>
      </c>
      <c r="H374">
        <f t="shared" ref="H374:H393" si="129">IF(D374&lt;6,11-2*D374,0)</f>
        <v>5</v>
      </c>
      <c r="I374">
        <f t="shared" ref="I374:I393" si="130">G374+H374</f>
        <v>13</v>
      </c>
      <c r="J374">
        <f t="shared" si="124"/>
        <v>0</v>
      </c>
      <c r="K374">
        <f t="shared" si="125"/>
        <v>1</v>
      </c>
      <c r="L374">
        <f t="shared" si="127"/>
        <v>1</v>
      </c>
    </row>
    <row r="375" spans="1:12" x14ac:dyDescent="0.25">
      <c r="A375">
        <v>19</v>
      </c>
      <c r="B375" s="1">
        <v>45893</v>
      </c>
      <c r="C375" t="s">
        <v>15</v>
      </c>
      <c r="D375">
        <v>4</v>
      </c>
      <c r="E375">
        <v>5</v>
      </c>
      <c r="F375" t="s">
        <v>67</v>
      </c>
      <c r="G375">
        <f t="shared" si="128"/>
        <v>7</v>
      </c>
      <c r="H375">
        <f t="shared" si="129"/>
        <v>3</v>
      </c>
      <c r="I375">
        <f t="shared" si="130"/>
        <v>10</v>
      </c>
      <c r="J375">
        <f t="shared" si="124"/>
        <v>0</v>
      </c>
      <c r="K375">
        <f t="shared" si="125"/>
        <v>0</v>
      </c>
      <c r="L375">
        <f t="shared" si="127"/>
        <v>-1</v>
      </c>
    </row>
    <row r="376" spans="1:12" x14ac:dyDescent="0.25">
      <c r="A376">
        <v>19</v>
      </c>
      <c r="B376" s="1">
        <v>45893</v>
      </c>
      <c r="C376" t="s">
        <v>15</v>
      </c>
      <c r="D376">
        <v>5</v>
      </c>
      <c r="E376">
        <v>4</v>
      </c>
      <c r="F376" t="s">
        <v>53</v>
      </c>
      <c r="G376">
        <f t="shared" si="128"/>
        <v>6</v>
      </c>
      <c r="H376">
        <f t="shared" si="129"/>
        <v>1</v>
      </c>
      <c r="I376">
        <f t="shared" si="130"/>
        <v>7</v>
      </c>
      <c r="J376">
        <f t="shared" si="124"/>
        <v>0</v>
      </c>
      <c r="K376">
        <f t="shared" si="125"/>
        <v>0</v>
      </c>
      <c r="L376">
        <f t="shared" si="127"/>
        <v>1</v>
      </c>
    </row>
    <row r="377" spans="1:12" x14ac:dyDescent="0.25">
      <c r="A377">
        <v>19</v>
      </c>
      <c r="B377" s="1">
        <v>45893</v>
      </c>
      <c r="C377" t="s">
        <v>15</v>
      </c>
      <c r="D377">
        <v>6</v>
      </c>
      <c r="E377">
        <v>8</v>
      </c>
      <c r="F377" t="s">
        <v>68</v>
      </c>
      <c r="G377">
        <f t="shared" si="128"/>
        <v>5</v>
      </c>
      <c r="H377">
        <f t="shared" si="129"/>
        <v>0</v>
      </c>
      <c r="I377">
        <f t="shared" si="130"/>
        <v>5</v>
      </c>
      <c r="J377">
        <f t="shared" si="124"/>
        <v>0</v>
      </c>
      <c r="K377">
        <f t="shared" si="125"/>
        <v>0</v>
      </c>
      <c r="L377">
        <f t="shared" si="127"/>
        <v>-2</v>
      </c>
    </row>
    <row r="378" spans="1:12" x14ac:dyDescent="0.25">
      <c r="A378">
        <v>19</v>
      </c>
      <c r="B378" s="1">
        <v>45893</v>
      </c>
      <c r="C378" t="s">
        <v>15</v>
      </c>
      <c r="D378">
        <v>7</v>
      </c>
      <c r="E378">
        <v>9</v>
      </c>
      <c r="F378" t="s">
        <v>70</v>
      </c>
      <c r="G378">
        <f t="shared" si="128"/>
        <v>4</v>
      </c>
      <c r="H378">
        <f t="shared" si="129"/>
        <v>0</v>
      </c>
      <c r="I378">
        <f t="shared" si="130"/>
        <v>4</v>
      </c>
      <c r="J378">
        <f t="shared" si="124"/>
        <v>0</v>
      </c>
      <c r="K378">
        <f t="shared" si="125"/>
        <v>0</v>
      </c>
      <c r="L378">
        <f t="shared" si="127"/>
        <v>-2</v>
      </c>
    </row>
    <row r="379" spans="1:12" x14ac:dyDescent="0.25">
      <c r="A379">
        <v>19</v>
      </c>
      <c r="B379" s="1">
        <v>45893</v>
      </c>
      <c r="C379" t="s">
        <v>15</v>
      </c>
      <c r="D379">
        <v>8</v>
      </c>
      <c r="E379">
        <v>10</v>
      </c>
      <c r="F379" t="s">
        <v>71</v>
      </c>
      <c r="G379">
        <f t="shared" si="128"/>
        <v>3</v>
      </c>
      <c r="H379">
        <f t="shared" si="129"/>
        <v>0</v>
      </c>
      <c r="I379">
        <f t="shared" si="130"/>
        <v>3</v>
      </c>
      <c r="J379">
        <f t="shared" si="124"/>
        <v>0</v>
      </c>
      <c r="K379">
        <f t="shared" si="125"/>
        <v>0</v>
      </c>
      <c r="L379">
        <f t="shared" si="127"/>
        <v>-2</v>
      </c>
    </row>
    <row r="380" spans="1:12" x14ac:dyDescent="0.25">
      <c r="A380">
        <v>19</v>
      </c>
      <c r="B380" s="1">
        <v>45893</v>
      </c>
      <c r="C380" t="s">
        <v>15</v>
      </c>
      <c r="D380">
        <v>9</v>
      </c>
      <c r="E380">
        <v>6</v>
      </c>
      <c r="F380" t="s">
        <v>55</v>
      </c>
      <c r="G380">
        <f t="shared" si="128"/>
        <v>2</v>
      </c>
      <c r="H380">
        <f t="shared" si="129"/>
        <v>0</v>
      </c>
      <c r="I380">
        <f t="shared" si="130"/>
        <v>2</v>
      </c>
      <c r="J380">
        <f t="shared" si="124"/>
        <v>0</v>
      </c>
      <c r="K380">
        <f t="shared" si="125"/>
        <v>0</v>
      </c>
      <c r="L380">
        <f t="shared" si="127"/>
        <v>3</v>
      </c>
    </row>
    <row r="381" spans="1:12" x14ac:dyDescent="0.25">
      <c r="A381">
        <v>19</v>
      </c>
      <c r="B381" s="1">
        <v>45893</v>
      </c>
      <c r="C381" t="s">
        <v>15</v>
      </c>
      <c r="D381">
        <v>10</v>
      </c>
      <c r="E381">
        <v>7</v>
      </c>
      <c r="F381" t="s">
        <v>62</v>
      </c>
      <c r="G381">
        <f t="shared" si="128"/>
        <v>1</v>
      </c>
      <c r="H381">
        <f t="shared" si="129"/>
        <v>0</v>
      </c>
      <c r="I381">
        <f t="shared" si="130"/>
        <v>1</v>
      </c>
      <c r="J381">
        <f t="shared" si="124"/>
        <v>0</v>
      </c>
      <c r="K381">
        <f t="shared" si="125"/>
        <v>0</v>
      </c>
      <c r="L381">
        <f t="shared" si="127"/>
        <v>3</v>
      </c>
    </row>
    <row r="382" spans="1:12" x14ac:dyDescent="0.25">
      <c r="A382">
        <v>20</v>
      </c>
      <c r="B382" s="1">
        <v>45907</v>
      </c>
      <c r="C382" t="s">
        <v>4</v>
      </c>
      <c r="D382">
        <v>1</v>
      </c>
      <c r="E382">
        <v>2</v>
      </c>
      <c r="F382" t="s">
        <v>58</v>
      </c>
      <c r="G382">
        <f t="shared" si="128"/>
        <v>10</v>
      </c>
      <c r="H382">
        <f t="shared" si="129"/>
        <v>9</v>
      </c>
      <c r="I382">
        <f t="shared" si="130"/>
        <v>19</v>
      </c>
      <c r="J382">
        <f t="shared" ref="J382:J401" si="131">COUNTIF(D382,"=1")</f>
        <v>1</v>
      </c>
      <c r="K382">
        <f t="shared" ref="K382:K401" si="132">COUNTIF(D382,"&lt;4")</f>
        <v>1</v>
      </c>
      <c r="L382">
        <f t="shared" si="127"/>
        <v>-1</v>
      </c>
    </row>
    <row r="383" spans="1:12" x14ac:dyDescent="0.25">
      <c r="A383">
        <v>20</v>
      </c>
      <c r="B383" s="1">
        <v>45907</v>
      </c>
      <c r="C383" t="s">
        <v>4</v>
      </c>
      <c r="D383">
        <v>2</v>
      </c>
      <c r="E383">
        <v>1</v>
      </c>
      <c r="F383" t="s">
        <v>48</v>
      </c>
      <c r="G383">
        <f t="shared" si="128"/>
        <v>9</v>
      </c>
      <c r="H383">
        <f t="shared" si="129"/>
        <v>7</v>
      </c>
      <c r="I383">
        <f t="shared" si="130"/>
        <v>16</v>
      </c>
      <c r="J383">
        <f t="shared" si="131"/>
        <v>0</v>
      </c>
      <c r="K383">
        <f t="shared" si="132"/>
        <v>1</v>
      </c>
      <c r="L383">
        <f t="shared" si="127"/>
        <v>1</v>
      </c>
    </row>
    <row r="384" spans="1:12" x14ac:dyDescent="0.25">
      <c r="A384">
        <v>20</v>
      </c>
      <c r="B384" s="1">
        <v>45907</v>
      </c>
      <c r="C384" t="s">
        <v>4</v>
      </c>
      <c r="D384">
        <v>3</v>
      </c>
      <c r="E384">
        <v>3</v>
      </c>
      <c r="F384" t="s">
        <v>59</v>
      </c>
      <c r="G384">
        <f t="shared" si="128"/>
        <v>8</v>
      </c>
      <c r="H384">
        <f t="shared" si="129"/>
        <v>5</v>
      </c>
      <c r="I384">
        <f t="shared" si="130"/>
        <v>13</v>
      </c>
      <c r="J384">
        <f t="shared" si="131"/>
        <v>0</v>
      </c>
      <c r="K384">
        <f t="shared" si="132"/>
        <v>1</v>
      </c>
      <c r="L384">
        <f t="shared" si="127"/>
        <v>0</v>
      </c>
    </row>
    <row r="385" spans="1:12" x14ac:dyDescent="0.25">
      <c r="A385">
        <v>20</v>
      </c>
      <c r="B385" s="1">
        <v>45907</v>
      </c>
      <c r="C385" t="s">
        <v>4</v>
      </c>
      <c r="D385">
        <v>4</v>
      </c>
      <c r="E385">
        <v>4</v>
      </c>
      <c r="F385" t="s">
        <v>63</v>
      </c>
      <c r="G385">
        <f t="shared" si="128"/>
        <v>7</v>
      </c>
      <c r="H385">
        <f t="shared" si="129"/>
        <v>3</v>
      </c>
      <c r="I385">
        <f t="shared" si="130"/>
        <v>10</v>
      </c>
      <c r="J385">
        <f t="shared" si="131"/>
        <v>0</v>
      </c>
      <c r="K385">
        <f t="shared" si="132"/>
        <v>0</v>
      </c>
      <c r="L385">
        <f t="shared" si="127"/>
        <v>0</v>
      </c>
    </row>
    <row r="386" spans="1:12" x14ac:dyDescent="0.25">
      <c r="A386">
        <v>20</v>
      </c>
      <c r="B386" s="1">
        <v>45907</v>
      </c>
      <c r="C386" t="s">
        <v>4</v>
      </c>
      <c r="D386">
        <v>5</v>
      </c>
      <c r="E386">
        <v>6</v>
      </c>
      <c r="F386" t="s">
        <v>61</v>
      </c>
      <c r="G386">
        <f t="shared" si="128"/>
        <v>6</v>
      </c>
      <c r="H386">
        <f t="shared" si="129"/>
        <v>1</v>
      </c>
      <c r="I386">
        <f t="shared" si="130"/>
        <v>7</v>
      </c>
      <c r="J386">
        <f t="shared" si="131"/>
        <v>0</v>
      </c>
      <c r="K386">
        <f t="shared" si="132"/>
        <v>0</v>
      </c>
      <c r="L386">
        <f>D386-E386</f>
        <v>-1</v>
      </c>
    </row>
    <row r="387" spans="1:12" x14ac:dyDescent="0.25">
      <c r="A387">
        <v>20</v>
      </c>
      <c r="B387" s="1">
        <v>45907</v>
      </c>
      <c r="C387" t="s">
        <v>4</v>
      </c>
      <c r="D387">
        <v>6</v>
      </c>
      <c r="E387">
        <v>7</v>
      </c>
      <c r="F387" t="s">
        <v>66</v>
      </c>
      <c r="G387">
        <f t="shared" si="128"/>
        <v>5</v>
      </c>
      <c r="H387">
        <f t="shared" si="129"/>
        <v>0</v>
      </c>
      <c r="I387">
        <f t="shared" si="130"/>
        <v>5</v>
      </c>
      <c r="J387">
        <f t="shared" si="131"/>
        <v>0</v>
      </c>
      <c r="K387">
        <f t="shared" si="132"/>
        <v>0</v>
      </c>
      <c r="L387">
        <f t="shared" ref="L387:L389" si="133">D387-E387</f>
        <v>-1</v>
      </c>
    </row>
    <row r="388" spans="1:12" x14ac:dyDescent="0.25">
      <c r="A388">
        <v>20</v>
      </c>
      <c r="B388" s="1">
        <v>45907</v>
      </c>
      <c r="C388" t="s">
        <v>4</v>
      </c>
      <c r="D388">
        <v>7</v>
      </c>
      <c r="E388">
        <v>5</v>
      </c>
      <c r="F388" t="s">
        <v>51</v>
      </c>
      <c r="G388">
        <f t="shared" si="128"/>
        <v>4</v>
      </c>
      <c r="H388">
        <f t="shared" si="129"/>
        <v>0</v>
      </c>
      <c r="I388">
        <f t="shared" si="130"/>
        <v>4</v>
      </c>
      <c r="J388">
        <f t="shared" si="131"/>
        <v>0</v>
      </c>
      <c r="K388">
        <f t="shared" si="132"/>
        <v>0</v>
      </c>
      <c r="L388">
        <f t="shared" si="133"/>
        <v>2</v>
      </c>
    </row>
    <row r="389" spans="1:12" x14ac:dyDescent="0.25">
      <c r="A389">
        <v>20</v>
      </c>
      <c r="B389" s="1">
        <v>45907</v>
      </c>
      <c r="C389" t="s">
        <v>4</v>
      </c>
      <c r="D389">
        <v>8</v>
      </c>
      <c r="E389">
        <v>9</v>
      </c>
      <c r="F389" t="s">
        <v>69</v>
      </c>
      <c r="G389">
        <f t="shared" si="128"/>
        <v>3</v>
      </c>
      <c r="H389">
        <f t="shared" si="129"/>
        <v>0</v>
      </c>
      <c r="I389">
        <f t="shared" si="130"/>
        <v>3</v>
      </c>
      <c r="J389">
        <f t="shared" si="131"/>
        <v>0</v>
      </c>
      <c r="K389">
        <f t="shared" si="132"/>
        <v>0</v>
      </c>
      <c r="L389">
        <f t="shared" si="133"/>
        <v>-1</v>
      </c>
    </row>
    <row r="390" spans="1:12" x14ac:dyDescent="0.25">
      <c r="A390">
        <v>20</v>
      </c>
      <c r="B390" s="1">
        <v>45907</v>
      </c>
      <c r="C390" t="s">
        <v>4</v>
      </c>
      <c r="D390">
        <v>9</v>
      </c>
      <c r="E390">
        <v>8</v>
      </c>
      <c r="F390" t="s">
        <v>52</v>
      </c>
      <c r="G390">
        <f t="shared" si="128"/>
        <v>2</v>
      </c>
      <c r="H390">
        <f t="shared" si="129"/>
        <v>0</v>
      </c>
      <c r="I390">
        <f t="shared" si="130"/>
        <v>2</v>
      </c>
      <c r="J390">
        <f t="shared" si="131"/>
        <v>0</v>
      </c>
      <c r="K390">
        <f t="shared" si="132"/>
        <v>0</v>
      </c>
      <c r="L390">
        <f>D390-E390</f>
        <v>1</v>
      </c>
    </row>
    <row r="391" spans="1:12" x14ac:dyDescent="0.25">
      <c r="A391">
        <v>20</v>
      </c>
      <c r="B391" s="1">
        <v>45907</v>
      </c>
      <c r="C391" t="s">
        <v>4</v>
      </c>
      <c r="D391">
        <v>10</v>
      </c>
      <c r="E391">
        <v>11</v>
      </c>
      <c r="F391" t="s">
        <v>72</v>
      </c>
      <c r="G391">
        <f t="shared" si="128"/>
        <v>1</v>
      </c>
      <c r="H391">
        <f t="shared" si="129"/>
        <v>0</v>
      </c>
      <c r="I391">
        <f t="shared" si="130"/>
        <v>1</v>
      </c>
      <c r="J391">
        <f t="shared" si="131"/>
        <v>0</v>
      </c>
      <c r="K391">
        <f t="shared" si="132"/>
        <v>0</v>
      </c>
      <c r="L391">
        <f t="shared" ref="L391:L405" si="134">D391-E391</f>
        <v>-1</v>
      </c>
    </row>
    <row r="392" spans="1:12" x14ac:dyDescent="0.25">
      <c r="A392">
        <v>20</v>
      </c>
      <c r="B392" s="1">
        <v>45907</v>
      </c>
      <c r="C392" t="s">
        <v>15</v>
      </c>
      <c r="D392">
        <v>1</v>
      </c>
      <c r="E392">
        <v>1</v>
      </c>
      <c r="F392" t="s">
        <v>56</v>
      </c>
      <c r="G392">
        <f t="shared" si="128"/>
        <v>10</v>
      </c>
      <c r="H392">
        <f t="shared" si="129"/>
        <v>9</v>
      </c>
      <c r="I392">
        <f t="shared" si="130"/>
        <v>19</v>
      </c>
      <c r="J392">
        <f t="shared" si="131"/>
        <v>1</v>
      </c>
      <c r="K392">
        <f t="shared" si="132"/>
        <v>1</v>
      </c>
      <c r="L392">
        <f t="shared" si="134"/>
        <v>0</v>
      </c>
    </row>
    <row r="393" spans="1:12" x14ac:dyDescent="0.25">
      <c r="A393">
        <v>20</v>
      </c>
      <c r="B393" s="1">
        <v>45907</v>
      </c>
      <c r="C393" t="s">
        <v>15</v>
      </c>
      <c r="D393">
        <v>2</v>
      </c>
      <c r="E393">
        <v>2</v>
      </c>
      <c r="F393" t="s">
        <v>65</v>
      </c>
      <c r="G393">
        <f t="shared" si="128"/>
        <v>9</v>
      </c>
      <c r="H393">
        <f t="shared" si="129"/>
        <v>7</v>
      </c>
      <c r="I393">
        <f t="shared" si="130"/>
        <v>16</v>
      </c>
      <c r="J393">
        <f t="shared" si="131"/>
        <v>0</v>
      </c>
      <c r="K393">
        <f t="shared" si="132"/>
        <v>1</v>
      </c>
      <c r="L393">
        <f t="shared" si="134"/>
        <v>0</v>
      </c>
    </row>
    <row r="394" spans="1:12" x14ac:dyDescent="0.25">
      <c r="A394">
        <v>20</v>
      </c>
      <c r="B394" s="1">
        <v>45907</v>
      </c>
      <c r="C394" t="s">
        <v>15</v>
      </c>
      <c r="D394">
        <v>3</v>
      </c>
      <c r="E394">
        <v>4</v>
      </c>
      <c r="F394" t="s">
        <v>67</v>
      </c>
      <c r="G394">
        <f t="shared" ref="G394:G413" si="135">11-D394</f>
        <v>8</v>
      </c>
      <c r="H394">
        <f t="shared" ref="H394:H413" si="136">IF(D394&lt;6,11-2*D394,0)</f>
        <v>5</v>
      </c>
      <c r="I394">
        <f t="shared" ref="I394:I413" si="137">G394+H394</f>
        <v>13</v>
      </c>
      <c r="J394">
        <f t="shared" si="131"/>
        <v>0</v>
      </c>
      <c r="K394">
        <f t="shared" si="132"/>
        <v>1</v>
      </c>
      <c r="L394">
        <f t="shared" si="134"/>
        <v>-1</v>
      </c>
    </row>
    <row r="395" spans="1:12" x14ac:dyDescent="0.25">
      <c r="A395">
        <v>20</v>
      </c>
      <c r="B395" s="1">
        <v>45907</v>
      </c>
      <c r="C395" t="s">
        <v>15</v>
      </c>
      <c r="D395">
        <v>4</v>
      </c>
      <c r="E395">
        <v>3</v>
      </c>
      <c r="F395" t="s">
        <v>64</v>
      </c>
      <c r="G395">
        <f t="shared" si="135"/>
        <v>7</v>
      </c>
      <c r="H395">
        <f t="shared" si="136"/>
        <v>3</v>
      </c>
      <c r="I395">
        <f t="shared" si="137"/>
        <v>10</v>
      </c>
      <c r="J395">
        <f t="shared" si="131"/>
        <v>0</v>
      </c>
      <c r="K395">
        <f t="shared" si="132"/>
        <v>0</v>
      </c>
      <c r="L395">
        <f t="shared" si="134"/>
        <v>1</v>
      </c>
    </row>
    <row r="396" spans="1:12" x14ac:dyDescent="0.25">
      <c r="A396">
        <v>20</v>
      </c>
      <c r="B396" s="1">
        <v>45907</v>
      </c>
      <c r="C396" t="s">
        <v>15</v>
      </c>
      <c r="D396">
        <v>5</v>
      </c>
      <c r="E396">
        <v>7</v>
      </c>
      <c r="F396" t="s">
        <v>70</v>
      </c>
      <c r="G396">
        <f t="shared" si="135"/>
        <v>6</v>
      </c>
      <c r="H396">
        <f t="shared" si="136"/>
        <v>1</v>
      </c>
      <c r="I396">
        <f t="shared" si="137"/>
        <v>7</v>
      </c>
      <c r="J396">
        <f t="shared" si="131"/>
        <v>0</v>
      </c>
      <c r="K396">
        <f t="shared" si="132"/>
        <v>0</v>
      </c>
      <c r="L396">
        <f t="shared" si="134"/>
        <v>-2</v>
      </c>
    </row>
    <row r="397" spans="1:12" x14ac:dyDescent="0.25">
      <c r="A397">
        <v>20</v>
      </c>
      <c r="B397" s="1">
        <v>45907</v>
      </c>
      <c r="C397" t="s">
        <v>15</v>
      </c>
      <c r="D397">
        <v>6</v>
      </c>
      <c r="E397">
        <v>8</v>
      </c>
      <c r="F397" t="s">
        <v>71</v>
      </c>
      <c r="G397">
        <f t="shared" si="135"/>
        <v>5</v>
      </c>
      <c r="H397">
        <f t="shared" si="136"/>
        <v>0</v>
      </c>
      <c r="I397">
        <f t="shared" si="137"/>
        <v>5</v>
      </c>
      <c r="J397">
        <f t="shared" si="131"/>
        <v>0</v>
      </c>
      <c r="K397">
        <f t="shared" si="132"/>
        <v>0</v>
      </c>
      <c r="L397">
        <f t="shared" si="134"/>
        <v>-2</v>
      </c>
    </row>
    <row r="398" spans="1:12" x14ac:dyDescent="0.25">
      <c r="A398">
        <v>20</v>
      </c>
      <c r="B398" s="1">
        <v>45907</v>
      </c>
      <c r="C398" t="s">
        <v>15</v>
      </c>
      <c r="D398">
        <v>7</v>
      </c>
      <c r="E398">
        <v>6</v>
      </c>
      <c r="F398" t="s">
        <v>68</v>
      </c>
      <c r="G398">
        <f t="shared" si="135"/>
        <v>4</v>
      </c>
      <c r="H398">
        <f t="shared" si="136"/>
        <v>0</v>
      </c>
      <c r="I398">
        <f t="shared" si="137"/>
        <v>4</v>
      </c>
      <c r="J398">
        <f t="shared" si="131"/>
        <v>0</v>
      </c>
      <c r="K398">
        <f t="shared" si="132"/>
        <v>0</v>
      </c>
      <c r="L398">
        <f t="shared" si="134"/>
        <v>1</v>
      </c>
    </row>
    <row r="399" spans="1:12" x14ac:dyDescent="0.25">
      <c r="A399">
        <v>20</v>
      </c>
      <c r="B399" s="1">
        <v>45907</v>
      </c>
      <c r="C399" t="s">
        <v>15</v>
      </c>
      <c r="D399">
        <v>8</v>
      </c>
      <c r="E399">
        <v>5</v>
      </c>
      <c r="F399" t="s">
        <v>53</v>
      </c>
      <c r="G399">
        <f t="shared" si="135"/>
        <v>3</v>
      </c>
      <c r="H399">
        <f t="shared" si="136"/>
        <v>0</v>
      </c>
      <c r="I399">
        <f t="shared" si="137"/>
        <v>3</v>
      </c>
      <c r="J399">
        <f t="shared" si="131"/>
        <v>0</v>
      </c>
      <c r="K399">
        <f t="shared" si="132"/>
        <v>0</v>
      </c>
      <c r="L399">
        <f t="shared" si="134"/>
        <v>3</v>
      </c>
    </row>
    <row r="400" spans="1:12" x14ac:dyDescent="0.25">
      <c r="A400">
        <v>20</v>
      </c>
      <c r="B400" s="1">
        <v>45907</v>
      </c>
      <c r="C400" t="s">
        <v>15</v>
      </c>
      <c r="D400">
        <v>9</v>
      </c>
      <c r="E400">
        <v>11</v>
      </c>
      <c r="F400" t="s">
        <v>73</v>
      </c>
      <c r="G400">
        <f t="shared" si="135"/>
        <v>2</v>
      </c>
      <c r="H400">
        <f t="shared" si="136"/>
        <v>0</v>
      </c>
      <c r="I400">
        <f t="shared" si="137"/>
        <v>2</v>
      </c>
      <c r="J400">
        <f t="shared" si="131"/>
        <v>0</v>
      </c>
      <c r="K400">
        <f t="shared" si="132"/>
        <v>0</v>
      </c>
      <c r="L400">
        <f t="shared" si="134"/>
        <v>-2</v>
      </c>
    </row>
    <row r="401" spans="1:12" x14ac:dyDescent="0.25">
      <c r="A401">
        <v>20</v>
      </c>
      <c r="B401" s="1">
        <v>45907</v>
      </c>
      <c r="C401" t="s">
        <v>15</v>
      </c>
      <c r="D401">
        <v>10</v>
      </c>
      <c r="E401">
        <v>11</v>
      </c>
      <c r="F401" t="s">
        <v>74</v>
      </c>
      <c r="G401">
        <f t="shared" si="135"/>
        <v>1</v>
      </c>
      <c r="H401">
        <f t="shared" si="136"/>
        <v>0</v>
      </c>
      <c r="I401">
        <f t="shared" si="137"/>
        <v>1</v>
      </c>
      <c r="J401">
        <f t="shared" si="131"/>
        <v>0</v>
      </c>
      <c r="K401">
        <f t="shared" si="132"/>
        <v>0</v>
      </c>
      <c r="L401">
        <f t="shared" si="134"/>
        <v>-1</v>
      </c>
    </row>
    <row r="402" spans="1:12" x14ac:dyDescent="0.25">
      <c r="A402">
        <v>21</v>
      </c>
      <c r="B402" s="1">
        <v>45921</v>
      </c>
      <c r="C402" t="s">
        <v>4</v>
      </c>
      <c r="D402">
        <v>1</v>
      </c>
      <c r="E402">
        <v>1</v>
      </c>
      <c r="F402" t="s">
        <v>58</v>
      </c>
      <c r="G402">
        <f t="shared" si="135"/>
        <v>10</v>
      </c>
      <c r="H402">
        <f t="shared" si="136"/>
        <v>9</v>
      </c>
      <c r="I402">
        <f t="shared" si="137"/>
        <v>19</v>
      </c>
      <c r="J402">
        <f t="shared" ref="J402:J421" si="138">COUNTIF(D402,"=1")</f>
        <v>1</v>
      </c>
      <c r="K402">
        <f t="shared" ref="K402:K421" si="139">COUNTIF(D402,"&lt;4")</f>
        <v>1</v>
      </c>
      <c r="L402">
        <f t="shared" si="134"/>
        <v>0</v>
      </c>
    </row>
    <row r="403" spans="1:12" x14ac:dyDescent="0.25">
      <c r="A403">
        <v>21</v>
      </c>
      <c r="B403" s="1">
        <v>45921</v>
      </c>
      <c r="C403" t="s">
        <v>4</v>
      </c>
      <c r="D403">
        <v>2</v>
      </c>
      <c r="E403">
        <v>3</v>
      </c>
      <c r="F403" t="s">
        <v>59</v>
      </c>
      <c r="G403">
        <f t="shared" si="135"/>
        <v>9</v>
      </c>
      <c r="H403">
        <f t="shared" si="136"/>
        <v>7</v>
      </c>
      <c r="I403">
        <f t="shared" si="137"/>
        <v>16</v>
      </c>
      <c r="J403">
        <f t="shared" si="138"/>
        <v>0</v>
      </c>
      <c r="K403">
        <f t="shared" si="139"/>
        <v>1</v>
      </c>
      <c r="L403">
        <f t="shared" si="134"/>
        <v>-1</v>
      </c>
    </row>
    <row r="404" spans="1:12" x14ac:dyDescent="0.25">
      <c r="A404">
        <v>21</v>
      </c>
      <c r="B404" s="1">
        <v>45921</v>
      </c>
      <c r="C404" t="s">
        <v>4</v>
      </c>
      <c r="D404">
        <v>3</v>
      </c>
      <c r="E404">
        <v>4</v>
      </c>
      <c r="F404" t="s">
        <v>63</v>
      </c>
      <c r="G404">
        <f t="shared" si="135"/>
        <v>8</v>
      </c>
      <c r="H404">
        <f t="shared" si="136"/>
        <v>5</v>
      </c>
      <c r="I404">
        <f t="shared" si="137"/>
        <v>13</v>
      </c>
      <c r="J404">
        <f t="shared" si="138"/>
        <v>0</v>
      </c>
      <c r="K404">
        <f t="shared" si="139"/>
        <v>1</v>
      </c>
      <c r="L404">
        <f t="shared" si="134"/>
        <v>-1</v>
      </c>
    </row>
    <row r="405" spans="1:12" x14ac:dyDescent="0.25">
      <c r="A405">
        <v>21</v>
      </c>
      <c r="B405" s="1">
        <v>45921</v>
      </c>
      <c r="C405" t="s">
        <v>4</v>
      </c>
      <c r="D405">
        <v>4</v>
      </c>
      <c r="E405">
        <v>2</v>
      </c>
      <c r="F405" t="s">
        <v>48</v>
      </c>
      <c r="G405">
        <f t="shared" si="135"/>
        <v>7</v>
      </c>
      <c r="H405">
        <f t="shared" si="136"/>
        <v>3</v>
      </c>
      <c r="I405">
        <f t="shared" si="137"/>
        <v>10</v>
      </c>
      <c r="J405">
        <f t="shared" si="138"/>
        <v>0</v>
      </c>
      <c r="K405">
        <f t="shared" si="139"/>
        <v>0</v>
      </c>
      <c r="L405">
        <f t="shared" si="134"/>
        <v>2</v>
      </c>
    </row>
    <row r="406" spans="1:12" x14ac:dyDescent="0.25">
      <c r="A406">
        <v>21</v>
      </c>
      <c r="B406" s="1">
        <v>45921</v>
      </c>
      <c r="C406" t="s">
        <v>4</v>
      </c>
      <c r="D406">
        <v>5</v>
      </c>
      <c r="E406">
        <v>5</v>
      </c>
      <c r="F406" t="s">
        <v>61</v>
      </c>
      <c r="G406">
        <f t="shared" si="135"/>
        <v>6</v>
      </c>
      <c r="H406">
        <f t="shared" si="136"/>
        <v>1</v>
      </c>
      <c r="I406">
        <f t="shared" si="137"/>
        <v>7</v>
      </c>
      <c r="J406">
        <f t="shared" si="138"/>
        <v>0</v>
      </c>
      <c r="K406">
        <f t="shared" si="139"/>
        <v>0</v>
      </c>
      <c r="L406">
        <f>D406-E406</f>
        <v>0</v>
      </c>
    </row>
    <row r="407" spans="1:12" x14ac:dyDescent="0.25">
      <c r="A407">
        <v>21</v>
      </c>
      <c r="B407" s="1">
        <v>45921</v>
      </c>
      <c r="C407" t="s">
        <v>4</v>
      </c>
      <c r="D407">
        <v>6</v>
      </c>
      <c r="E407">
        <v>6</v>
      </c>
      <c r="F407" t="s">
        <v>66</v>
      </c>
      <c r="G407">
        <f t="shared" si="135"/>
        <v>5</v>
      </c>
      <c r="H407">
        <f t="shared" si="136"/>
        <v>0</v>
      </c>
      <c r="I407">
        <f t="shared" si="137"/>
        <v>5</v>
      </c>
      <c r="J407">
        <f t="shared" si="138"/>
        <v>0</v>
      </c>
      <c r="K407">
        <f t="shared" si="139"/>
        <v>0</v>
      </c>
      <c r="L407">
        <f t="shared" ref="L407:L409" si="140">D407-E407</f>
        <v>0</v>
      </c>
    </row>
    <row r="408" spans="1:12" x14ac:dyDescent="0.25">
      <c r="A408">
        <v>21</v>
      </c>
      <c r="B408" s="1">
        <v>45921</v>
      </c>
      <c r="C408" t="s">
        <v>4</v>
      </c>
      <c r="D408">
        <v>7</v>
      </c>
      <c r="E408">
        <v>8</v>
      </c>
      <c r="F408" t="s">
        <v>69</v>
      </c>
      <c r="G408">
        <f t="shared" si="135"/>
        <v>4</v>
      </c>
      <c r="H408">
        <f t="shared" si="136"/>
        <v>0</v>
      </c>
      <c r="I408">
        <f t="shared" si="137"/>
        <v>4</v>
      </c>
      <c r="J408">
        <f t="shared" si="138"/>
        <v>0</v>
      </c>
      <c r="K408">
        <f t="shared" si="139"/>
        <v>0</v>
      </c>
      <c r="L408">
        <f t="shared" si="140"/>
        <v>-1</v>
      </c>
    </row>
    <row r="409" spans="1:12" x14ac:dyDescent="0.25">
      <c r="A409">
        <v>21</v>
      </c>
      <c r="B409" s="1">
        <v>45921</v>
      </c>
      <c r="C409" t="s">
        <v>4</v>
      </c>
      <c r="D409">
        <v>8</v>
      </c>
      <c r="E409">
        <v>7</v>
      </c>
      <c r="F409" t="s">
        <v>51</v>
      </c>
      <c r="G409">
        <f t="shared" si="135"/>
        <v>3</v>
      </c>
      <c r="H409">
        <f t="shared" si="136"/>
        <v>0</v>
      </c>
      <c r="I409">
        <f t="shared" si="137"/>
        <v>3</v>
      </c>
      <c r="J409">
        <f t="shared" si="138"/>
        <v>0</v>
      </c>
      <c r="K409">
        <f t="shared" si="139"/>
        <v>0</v>
      </c>
      <c r="L409">
        <f t="shared" si="140"/>
        <v>1</v>
      </c>
    </row>
    <row r="410" spans="1:12" x14ac:dyDescent="0.25">
      <c r="A410">
        <v>21</v>
      </c>
      <c r="B410" s="1">
        <v>45921</v>
      </c>
      <c r="C410" t="s">
        <v>4</v>
      </c>
      <c r="D410">
        <v>9</v>
      </c>
      <c r="E410">
        <v>10</v>
      </c>
      <c r="F410" t="s">
        <v>72</v>
      </c>
      <c r="G410">
        <f t="shared" si="135"/>
        <v>2</v>
      </c>
      <c r="H410">
        <f t="shared" si="136"/>
        <v>0</v>
      </c>
      <c r="I410">
        <f t="shared" si="137"/>
        <v>2</v>
      </c>
      <c r="J410">
        <f t="shared" si="138"/>
        <v>0</v>
      </c>
      <c r="K410">
        <f t="shared" si="139"/>
        <v>0</v>
      </c>
      <c r="L410">
        <f>D410-E410</f>
        <v>-1</v>
      </c>
    </row>
    <row r="411" spans="1:12" x14ac:dyDescent="0.25">
      <c r="A411">
        <v>21</v>
      </c>
      <c r="B411" s="1">
        <v>45921</v>
      </c>
      <c r="C411" t="s">
        <v>4</v>
      </c>
      <c r="D411">
        <v>10</v>
      </c>
      <c r="E411">
        <v>9</v>
      </c>
      <c r="F411" t="s">
        <v>52</v>
      </c>
      <c r="G411">
        <f t="shared" si="135"/>
        <v>1</v>
      </c>
      <c r="H411">
        <f t="shared" si="136"/>
        <v>0</v>
      </c>
      <c r="I411">
        <f t="shared" si="137"/>
        <v>1</v>
      </c>
      <c r="J411">
        <f t="shared" si="138"/>
        <v>0</v>
      </c>
      <c r="K411">
        <f t="shared" si="139"/>
        <v>0</v>
      </c>
      <c r="L411">
        <f t="shared" ref="L411:L425" si="141">D411-E411</f>
        <v>1</v>
      </c>
    </row>
    <row r="412" spans="1:12" x14ac:dyDescent="0.25">
      <c r="A412">
        <v>21</v>
      </c>
      <c r="B412" s="1">
        <v>45921</v>
      </c>
      <c r="C412" t="s">
        <v>15</v>
      </c>
      <c r="D412">
        <v>1</v>
      </c>
      <c r="E412">
        <v>1</v>
      </c>
      <c r="F412" t="s">
        <v>56</v>
      </c>
      <c r="G412">
        <f t="shared" si="135"/>
        <v>10</v>
      </c>
      <c r="H412">
        <f t="shared" si="136"/>
        <v>9</v>
      </c>
      <c r="I412">
        <f t="shared" si="137"/>
        <v>19</v>
      </c>
      <c r="J412">
        <f t="shared" si="138"/>
        <v>1</v>
      </c>
      <c r="K412">
        <f t="shared" si="139"/>
        <v>1</v>
      </c>
      <c r="L412">
        <f t="shared" si="141"/>
        <v>0</v>
      </c>
    </row>
    <row r="413" spans="1:12" x14ac:dyDescent="0.25">
      <c r="A413">
        <v>21</v>
      </c>
      <c r="B413" s="1">
        <v>45921</v>
      </c>
      <c r="C413" t="s">
        <v>15</v>
      </c>
      <c r="D413">
        <v>2</v>
      </c>
      <c r="E413">
        <v>2</v>
      </c>
      <c r="F413" t="s">
        <v>65</v>
      </c>
      <c r="G413">
        <f t="shared" si="135"/>
        <v>9</v>
      </c>
      <c r="H413">
        <f t="shared" si="136"/>
        <v>7</v>
      </c>
      <c r="I413">
        <f t="shared" si="137"/>
        <v>16</v>
      </c>
      <c r="J413">
        <f t="shared" si="138"/>
        <v>0</v>
      </c>
      <c r="K413">
        <f t="shared" si="139"/>
        <v>1</v>
      </c>
      <c r="L413">
        <f t="shared" si="141"/>
        <v>0</v>
      </c>
    </row>
    <row r="414" spans="1:12" x14ac:dyDescent="0.25">
      <c r="A414">
        <v>21</v>
      </c>
      <c r="B414" s="1">
        <v>45921</v>
      </c>
      <c r="C414" t="s">
        <v>15</v>
      </c>
      <c r="D414">
        <v>3</v>
      </c>
      <c r="E414">
        <v>3</v>
      </c>
      <c r="F414" t="s">
        <v>67</v>
      </c>
      <c r="G414">
        <f t="shared" ref="G414:G433" si="142">11-D414</f>
        <v>8</v>
      </c>
      <c r="H414">
        <f t="shared" ref="H414:H433" si="143">IF(D414&lt;6,11-2*D414,0)</f>
        <v>5</v>
      </c>
      <c r="I414">
        <f t="shared" ref="I414:I433" si="144">G414+H414</f>
        <v>13</v>
      </c>
      <c r="J414">
        <f t="shared" si="138"/>
        <v>0</v>
      </c>
      <c r="K414">
        <f t="shared" si="139"/>
        <v>1</v>
      </c>
      <c r="L414">
        <f t="shared" si="141"/>
        <v>0</v>
      </c>
    </row>
    <row r="415" spans="1:12" x14ac:dyDescent="0.25">
      <c r="A415">
        <v>21</v>
      </c>
      <c r="B415" s="1">
        <v>45921</v>
      </c>
      <c r="C415" t="s">
        <v>15</v>
      </c>
      <c r="D415">
        <v>4</v>
      </c>
      <c r="E415">
        <v>5</v>
      </c>
      <c r="F415" t="s">
        <v>70</v>
      </c>
      <c r="G415">
        <f t="shared" si="142"/>
        <v>7</v>
      </c>
      <c r="H415">
        <f t="shared" si="143"/>
        <v>3</v>
      </c>
      <c r="I415">
        <f t="shared" si="144"/>
        <v>10</v>
      </c>
      <c r="J415">
        <f t="shared" si="138"/>
        <v>0</v>
      </c>
      <c r="K415">
        <f t="shared" si="139"/>
        <v>0</v>
      </c>
      <c r="L415">
        <f t="shared" si="141"/>
        <v>-1</v>
      </c>
    </row>
    <row r="416" spans="1:12" x14ac:dyDescent="0.25">
      <c r="A416">
        <v>21</v>
      </c>
      <c r="B416" s="1">
        <v>45921</v>
      </c>
      <c r="C416" t="s">
        <v>15</v>
      </c>
      <c r="D416">
        <v>5</v>
      </c>
      <c r="E416">
        <v>4</v>
      </c>
      <c r="F416" t="s">
        <v>64</v>
      </c>
      <c r="G416">
        <f t="shared" si="142"/>
        <v>6</v>
      </c>
      <c r="H416">
        <f t="shared" si="143"/>
        <v>1</v>
      </c>
      <c r="I416">
        <f t="shared" si="144"/>
        <v>7</v>
      </c>
      <c r="J416">
        <f t="shared" si="138"/>
        <v>0</v>
      </c>
      <c r="K416">
        <f t="shared" si="139"/>
        <v>0</v>
      </c>
      <c r="L416">
        <f t="shared" si="141"/>
        <v>1</v>
      </c>
    </row>
    <row r="417" spans="1:12" x14ac:dyDescent="0.25">
      <c r="A417">
        <v>21</v>
      </c>
      <c r="B417" s="1">
        <v>45921</v>
      </c>
      <c r="C417" t="s">
        <v>15</v>
      </c>
      <c r="D417">
        <v>6</v>
      </c>
      <c r="E417">
        <v>6</v>
      </c>
      <c r="F417" t="s">
        <v>71</v>
      </c>
      <c r="G417">
        <f t="shared" si="142"/>
        <v>5</v>
      </c>
      <c r="H417">
        <f t="shared" si="143"/>
        <v>0</v>
      </c>
      <c r="I417">
        <f t="shared" si="144"/>
        <v>5</v>
      </c>
      <c r="J417">
        <f t="shared" si="138"/>
        <v>0</v>
      </c>
      <c r="K417">
        <f t="shared" si="139"/>
        <v>0</v>
      </c>
      <c r="L417">
        <f t="shared" si="141"/>
        <v>0</v>
      </c>
    </row>
    <row r="418" spans="1:12" x14ac:dyDescent="0.25">
      <c r="A418">
        <v>21</v>
      </c>
      <c r="B418" s="1">
        <v>45921</v>
      </c>
      <c r="C418" t="s">
        <v>15</v>
      </c>
      <c r="D418">
        <v>7</v>
      </c>
      <c r="E418">
        <v>7</v>
      </c>
      <c r="F418" t="s">
        <v>68</v>
      </c>
      <c r="G418">
        <f t="shared" si="142"/>
        <v>4</v>
      </c>
      <c r="H418">
        <f t="shared" si="143"/>
        <v>0</v>
      </c>
      <c r="I418">
        <f t="shared" si="144"/>
        <v>4</v>
      </c>
      <c r="J418">
        <f t="shared" si="138"/>
        <v>0</v>
      </c>
      <c r="K418">
        <f t="shared" si="139"/>
        <v>0</v>
      </c>
      <c r="L418">
        <f t="shared" si="141"/>
        <v>0</v>
      </c>
    </row>
    <row r="419" spans="1:12" x14ac:dyDescent="0.25">
      <c r="A419">
        <v>21</v>
      </c>
      <c r="B419" s="1">
        <v>45921</v>
      </c>
      <c r="C419" t="s">
        <v>15</v>
      </c>
      <c r="D419">
        <v>8</v>
      </c>
      <c r="E419">
        <v>9</v>
      </c>
      <c r="F419" t="s">
        <v>73</v>
      </c>
      <c r="G419">
        <f t="shared" si="142"/>
        <v>3</v>
      </c>
      <c r="H419">
        <f t="shared" si="143"/>
        <v>0</v>
      </c>
      <c r="I419">
        <f t="shared" si="144"/>
        <v>3</v>
      </c>
      <c r="J419">
        <f t="shared" si="138"/>
        <v>0</v>
      </c>
      <c r="K419">
        <f t="shared" si="139"/>
        <v>0</v>
      </c>
      <c r="L419">
        <f t="shared" si="141"/>
        <v>-1</v>
      </c>
    </row>
    <row r="420" spans="1:12" x14ac:dyDescent="0.25">
      <c r="A420">
        <v>21</v>
      </c>
      <c r="B420" s="1">
        <v>45921</v>
      </c>
      <c r="C420" t="s">
        <v>15</v>
      </c>
      <c r="D420">
        <v>9</v>
      </c>
      <c r="E420">
        <v>10</v>
      </c>
      <c r="F420" t="s">
        <v>74</v>
      </c>
      <c r="G420">
        <f t="shared" si="142"/>
        <v>2</v>
      </c>
      <c r="H420">
        <f t="shared" si="143"/>
        <v>0</v>
      </c>
      <c r="I420">
        <f t="shared" si="144"/>
        <v>2</v>
      </c>
      <c r="J420">
        <f t="shared" si="138"/>
        <v>0</v>
      </c>
      <c r="K420">
        <f t="shared" si="139"/>
        <v>0</v>
      </c>
      <c r="L420">
        <f t="shared" si="141"/>
        <v>-1</v>
      </c>
    </row>
    <row r="421" spans="1:12" x14ac:dyDescent="0.25">
      <c r="A421">
        <v>21</v>
      </c>
      <c r="B421" s="1">
        <v>45921</v>
      </c>
      <c r="C421" t="s">
        <v>15</v>
      </c>
      <c r="D421">
        <v>10</v>
      </c>
      <c r="E421">
        <v>8</v>
      </c>
      <c r="F421" t="s">
        <v>53</v>
      </c>
      <c r="G421">
        <f t="shared" si="142"/>
        <v>1</v>
      </c>
      <c r="H421">
        <f t="shared" si="143"/>
        <v>0</v>
      </c>
      <c r="I421">
        <f t="shared" si="144"/>
        <v>1</v>
      </c>
      <c r="J421">
        <f t="shared" si="138"/>
        <v>0</v>
      </c>
      <c r="K421">
        <f t="shared" si="139"/>
        <v>0</v>
      </c>
      <c r="L421">
        <f t="shared" si="141"/>
        <v>2</v>
      </c>
    </row>
    <row r="422" spans="1:12" x14ac:dyDescent="0.25">
      <c r="A422">
        <v>22</v>
      </c>
      <c r="B422" s="1">
        <v>45928</v>
      </c>
      <c r="C422" t="s">
        <v>4</v>
      </c>
      <c r="D422">
        <v>1</v>
      </c>
      <c r="E422">
        <v>1</v>
      </c>
      <c r="F422" t="s">
        <v>58</v>
      </c>
      <c r="G422">
        <f t="shared" si="142"/>
        <v>10</v>
      </c>
      <c r="H422">
        <f t="shared" si="143"/>
        <v>9</v>
      </c>
      <c r="I422">
        <f t="shared" si="144"/>
        <v>19</v>
      </c>
      <c r="J422">
        <f t="shared" ref="J422:J441" si="145">COUNTIF(D422,"=1")</f>
        <v>1</v>
      </c>
      <c r="K422">
        <f t="shared" ref="K422:K441" si="146">COUNTIF(D422,"&lt;4")</f>
        <v>1</v>
      </c>
      <c r="L422">
        <f t="shared" si="141"/>
        <v>0</v>
      </c>
    </row>
    <row r="423" spans="1:12" x14ac:dyDescent="0.25">
      <c r="A423">
        <v>22</v>
      </c>
      <c r="B423" s="1">
        <v>45928</v>
      </c>
      <c r="C423" t="s">
        <v>4</v>
      </c>
      <c r="D423">
        <v>2</v>
      </c>
      <c r="E423">
        <v>3</v>
      </c>
      <c r="F423" t="s">
        <v>63</v>
      </c>
      <c r="G423">
        <f t="shared" si="142"/>
        <v>9</v>
      </c>
      <c r="H423">
        <f t="shared" si="143"/>
        <v>7</v>
      </c>
      <c r="I423">
        <f t="shared" si="144"/>
        <v>16</v>
      </c>
      <c r="J423">
        <f t="shared" si="145"/>
        <v>0</v>
      </c>
      <c r="K423">
        <f t="shared" si="146"/>
        <v>1</v>
      </c>
      <c r="L423">
        <f t="shared" si="141"/>
        <v>-1</v>
      </c>
    </row>
    <row r="424" spans="1:12" x14ac:dyDescent="0.25">
      <c r="A424">
        <v>22</v>
      </c>
      <c r="B424" s="1">
        <v>45928</v>
      </c>
      <c r="C424" t="s">
        <v>4</v>
      </c>
      <c r="D424">
        <v>3</v>
      </c>
      <c r="E424">
        <v>2</v>
      </c>
      <c r="F424" t="s">
        <v>59</v>
      </c>
      <c r="G424">
        <f t="shared" si="142"/>
        <v>8</v>
      </c>
      <c r="H424">
        <f t="shared" si="143"/>
        <v>5</v>
      </c>
      <c r="I424">
        <f t="shared" si="144"/>
        <v>13</v>
      </c>
      <c r="J424">
        <f t="shared" si="145"/>
        <v>0</v>
      </c>
      <c r="K424">
        <f t="shared" si="146"/>
        <v>1</v>
      </c>
      <c r="L424">
        <f t="shared" si="141"/>
        <v>1</v>
      </c>
    </row>
    <row r="425" spans="1:12" x14ac:dyDescent="0.25">
      <c r="A425">
        <v>22</v>
      </c>
      <c r="B425" s="1">
        <v>45928</v>
      </c>
      <c r="C425" t="s">
        <v>4</v>
      </c>
      <c r="D425">
        <v>4</v>
      </c>
      <c r="E425">
        <v>6</v>
      </c>
      <c r="F425" t="s">
        <v>66</v>
      </c>
      <c r="G425">
        <f t="shared" si="142"/>
        <v>7</v>
      </c>
      <c r="H425">
        <f t="shared" si="143"/>
        <v>3</v>
      </c>
      <c r="I425">
        <f t="shared" si="144"/>
        <v>10</v>
      </c>
      <c r="J425">
        <f t="shared" si="145"/>
        <v>0</v>
      </c>
      <c r="K425">
        <f t="shared" si="146"/>
        <v>0</v>
      </c>
      <c r="L425">
        <f t="shared" si="141"/>
        <v>-2</v>
      </c>
    </row>
    <row r="426" spans="1:12" x14ac:dyDescent="0.25">
      <c r="A426">
        <v>22</v>
      </c>
      <c r="B426" s="1">
        <v>45928</v>
      </c>
      <c r="C426" t="s">
        <v>4</v>
      </c>
      <c r="D426">
        <v>5</v>
      </c>
      <c r="E426">
        <v>5</v>
      </c>
      <c r="F426" t="s">
        <v>61</v>
      </c>
      <c r="G426">
        <f t="shared" si="142"/>
        <v>6</v>
      </c>
      <c r="H426">
        <f t="shared" si="143"/>
        <v>1</v>
      </c>
      <c r="I426">
        <f t="shared" si="144"/>
        <v>7</v>
      </c>
      <c r="J426">
        <f t="shared" si="145"/>
        <v>0</v>
      </c>
      <c r="K426">
        <f t="shared" si="146"/>
        <v>0</v>
      </c>
      <c r="L426">
        <f>D426-E426</f>
        <v>0</v>
      </c>
    </row>
    <row r="427" spans="1:12" x14ac:dyDescent="0.25">
      <c r="A427">
        <v>22</v>
      </c>
      <c r="B427" s="1">
        <v>45928</v>
      </c>
      <c r="C427" t="s">
        <v>4</v>
      </c>
      <c r="D427">
        <v>6</v>
      </c>
      <c r="E427">
        <v>4</v>
      </c>
      <c r="F427" t="s">
        <v>48</v>
      </c>
      <c r="G427">
        <f t="shared" si="142"/>
        <v>5</v>
      </c>
      <c r="H427">
        <f t="shared" si="143"/>
        <v>0</v>
      </c>
      <c r="I427">
        <f t="shared" si="144"/>
        <v>5</v>
      </c>
      <c r="J427">
        <f t="shared" si="145"/>
        <v>0</v>
      </c>
      <c r="K427">
        <f t="shared" si="146"/>
        <v>0</v>
      </c>
      <c r="L427">
        <f t="shared" ref="L427:L429" si="147">D427-E427</f>
        <v>2</v>
      </c>
    </row>
    <row r="428" spans="1:12" x14ac:dyDescent="0.25">
      <c r="A428">
        <v>22</v>
      </c>
      <c r="B428" s="1">
        <v>45928</v>
      </c>
      <c r="C428" t="s">
        <v>4</v>
      </c>
      <c r="D428">
        <v>7</v>
      </c>
      <c r="E428">
        <v>7</v>
      </c>
      <c r="F428" t="s">
        <v>69</v>
      </c>
      <c r="G428">
        <f t="shared" si="142"/>
        <v>4</v>
      </c>
      <c r="H428">
        <f t="shared" si="143"/>
        <v>0</v>
      </c>
      <c r="I428">
        <f t="shared" si="144"/>
        <v>4</v>
      </c>
      <c r="J428">
        <f t="shared" si="145"/>
        <v>0</v>
      </c>
      <c r="K428">
        <f t="shared" si="146"/>
        <v>0</v>
      </c>
      <c r="L428">
        <f t="shared" si="147"/>
        <v>0</v>
      </c>
    </row>
    <row r="429" spans="1:12" x14ac:dyDescent="0.25">
      <c r="A429">
        <v>22</v>
      </c>
      <c r="B429" s="1">
        <v>45928</v>
      </c>
      <c r="C429" t="s">
        <v>4</v>
      </c>
      <c r="D429">
        <v>8</v>
      </c>
      <c r="E429">
        <v>9</v>
      </c>
      <c r="F429" t="s">
        <v>72</v>
      </c>
      <c r="G429">
        <f t="shared" si="142"/>
        <v>3</v>
      </c>
      <c r="H429">
        <f t="shared" si="143"/>
        <v>0</v>
      </c>
      <c r="I429">
        <f t="shared" si="144"/>
        <v>3</v>
      </c>
      <c r="J429">
        <f t="shared" si="145"/>
        <v>0</v>
      </c>
      <c r="K429">
        <f t="shared" si="146"/>
        <v>0</v>
      </c>
      <c r="L429">
        <f t="shared" si="147"/>
        <v>-1</v>
      </c>
    </row>
    <row r="430" spans="1:12" x14ac:dyDescent="0.25">
      <c r="A430">
        <v>22</v>
      </c>
      <c r="B430" s="1">
        <v>45928</v>
      </c>
      <c r="C430" t="s">
        <v>4</v>
      </c>
      <c r="D430">
        <v>9</v>
      </c>
      <c r="E430">
        <v>8</v>
      </c>
      <c r="F430" t="s">
        <v>51</v>
      </c>
      <c r="G430">
        <f t="shared" si="142"/>
        <v>2</v>
      </c>
      <c r="H430">
        <f t="shared" si="143"/>
        <v>0</v>
      </c>
      <c r="I430">
        <f t="shared" si="144"/>
        <v>2</v>
      </c>
      <c r="J430">
        <f t="shared" si="145"/>
        <v>0</v>
      </c>
      <c r="K430">
        <f t="shared" si="146"/>
        <v>0</v>
      </c>
      <c r="L430">
        <f>D430-E430</f>
        <v>1</v>
      </c>
    </row>
    <row r="431" spans="1:12" x14ac:dyDescent="0.25">
      <c r="A431">
        <v>22</v>
      </c>
      <c r="B431" s="1">
        <v>45928</v>
      </c>
      <c r="C431" t="s">
        <v>4</v>
      </c>
      <c r="D431">
        <v>10</v>
      </c>
      <c r="E431">
        <v>11</v>
      </c>
      <c r="F431" t="s">
        <v>75</v>
      </c>
      <c r="G431">
        <f t="shared" si="142"/>
        <v>1</v>
      </c>
      <c r="H431">
        <f t="shared" si="143"/>
        <v>0</v>
      </c>
      <c r="I431">
        <f t="shared" si="144"/>
        <v>1</v>
      </c>
      <c r="J431">
        <f t="shared" si="145"/>
        <v>0</v>
      </c>
      <c r="K431">
        <f t="shared" si="146"/>
        <v>0</v>
      </c>
      <c r="L431">
        <f t="shared" ref="L431:L445" si="148">D431-E431</f>
        <v>-1</v>
      </c>
    </row>
    <row r="432" spans="1:12" x14ac:dyDescent="0.25">
      <c r="A432">
        <v>22</v>
      </c>
      <c r="B432" s="1">
        <v>45928</v>
      </c>
      <c r="C432" t="s">
        <v>15</v>
      </c>
      <c r="D432">
        <v>1</v>
      </c>
      <c r="E432">
        <v>2</v>
      </c>
      <c r="F432" t="s">
        <v>65</v>
      </c>
      <c r="G432">
        <f t="shared" si="142"/>
        <v>10</v>
      </c>
      <c r="H432">
        <f t="shared" si="143"/>
        <v>9</v>
      </c>
      <c r="I432">
        <f t="shared" si="144"/>
        <v>19</v>
      </c>
      <c r="J432">
        <f t="shared" si="145"/>
        <v>1</v>
      </c>
      <c r="K432">
        <f t="shared" si="146"/>
        <v>1</v>
      </c>
      <c r="L432">
        <f t="shared" si="148"/>
        <v>-1</v>
      </c>
    </row>
    <row r="433" spans="1:12" x14ac:dyDescent="0.25">
      <c r="A433">
        <v>22</v>
      </c>
      <c r="B433" s="1">
        <v>45928</v>
      </c>
      <c r="C433" t="s">
        <v>15</v>
      </c>
      <c r="D433">
        <v>2</v>
      </c>
      <c r="E433">
        <v>3</v>
      </c>
      <c r="F433" t="s">
        <v>67</v>
      </c>
      <c r="G433">
        <f t="shared" si="142"/>
        <v>9</v>
      </c>
      <c r="H433">
        <f t="shared" si="143"/>
        <v>7</v>
      </c>
      <c r="I433">
        <f t="shared" si="144"/>
        <v>16</v>
      </c>
      <c r="J433">
        <f t="shared" si="145"/>
        <v>0</v>
      </c>
      <c r="K433">
        <f t="shared" si="146"/>
        <v>1</v>
      </c>
      <c r="L433">
        <f t="shared" si="148"/>
        <v>-1</v>
      </c>
    </row>
    <row r="434" spans="1:12" x14ac:dyDescent="0.25">
      <c r="A434">
        <v>22</v>
      </c>
      <c r="B434" s="1">
        <v>45928</v>
      </c>
      <c r="C434" t="s">
        <v>15</v>
      </c>
      <c r="D434">
        <v>3</v>
      </c>
      <c r="E434">
        <v>1</v>
      </c>
      <c r="F434" t="s">
        <v>56</v>
      </c>
      <c r="G434">
        <f t="shared" ref="G434:G453" si="149">11-D434</f>
        <v>8</v>
      </c>
      <c r="H434">
        <f t="shared" ref="H434:H453" si="150">IF(D434&lt;6,11-2*D434,0)</f>
        <v>5</v>
      </c>
      <c r="I434">
        <f t="shared" ref="I434:I453" si="151">G434+H434</f>
        <v>13</v>
      </c>
      <c r="J434">
        <f t="shared" si="145"/>
        <v>0</v>
      </c>
      <c r="K434">
        <f t="shared" si="146"/>
        <v>1</v>
      </c>
      <c r="L434">
        <f t="shared" si="148"/>
        <v>2</v>
      </c>
    </row>
    <row r="435" spans="1:12" x14ac:dyDescent="0.25">
      <c r="A435">
        <v>22</v>
      </c>
      <c r="B435" s="1">
        <v>45928</v>
      </c>
      <c r="C435" t="s">
        <v>15</v>
      </c>
      <c r="D435">
        <v>4</v>
      </c>
      <c r="E435">
        <v>4</v>
      </c>
      <c r="F435" t="s">
        <v>70</v>
      </c>
      <c r="G435">
        <f t="shared" si="149"/>
        <v>7</v>
      </c>
      <c r="H435">
        <f t="shared" si="150"/>
        <v>3</v>
      </c>
      <c r="I435">
        <f t="shared" si="151"/>
        <v>10</v>
      </c>
      <c r="J435">
        <f t="shared" si="145"/>
        <v>0</v>
      </c>
      <c r="K435">
        <f t="shared" si="146"/>
        <v>0</v>
      </c>
      <c r="L435">
        <f t="shared" si="148"/>
        <v>0</v>
      </c>
    </row>
    <row r="436" spans="1:12" x14ac:dyDescent="0.25">
      <c r="A436">
        <v>22</v>
      </c>
      <c r="B436" s="1">
        <v>45928</v>
      </c>
      <c r="C436" t="s">
        <v>15</v>
      </c>
      <c r="D436">
        <v>5</v>
      </c>
      <c r="E436">
        <v>5</v>
      </c>
      <c r="F436" t="s">
        <v>64</v>
      </c>
      <c r="G436">
        <f t="shared" si="149"/>
        <v>6</v>
      </c>
      <c r="H436">
        <f t="shared" si="150"/>
        <v>1</v>
      </c>
      <c r="I436">
        <f t="shared" si="151"/>
        <v>7</v>
      </c>
      <c r="J436">
        <f t="shared" si="145"/>
        <v>0</v>
      </c>
      <c r="K436">
        <f t="shared" si="146"/>
        <v>0</v>
      </c>
      <c r="L436">
        <f t="shared" si="148"/>
        <v>0</v>
      </c>
    </row>
    <row r="437" spans="1:12" x14ac:dyDescent="0.25">
      <c r="A437">
        <v>22</v>
      </c>
      <c r="B437" s="1">
        <v>45928</v>
      </c>
      <c r="C437" t="s">
        <v>15</v>
      </c>
      <c r="D437">
        <v>6</v>
      </c>
      <c r="E437">
        <v>9</v>
      </c>
      <c r="F437" t="s">
        <v>74</v>
      </c>
      <c r="G437">
        <f t="shared" si="149"/>
        <v>5</v>
      </c>
      <c r="H437">
        <f t="shared" si="150"/>
        <v>0</v>
      </c>
      <c r="I437">
        <f t="shared" si="151"/>
        <v>5</v>
      </c>
      <c r="J437">
        <f t="shared" si="145"/>
        <v>0</v>
      </c>
      <c r="K437">
        <f t="shared" si="146"/>
        <v>0</v>
      </c>
      <c r="L437">
        <f t="shared" si="148"/>
        <v>-3</v>
      </c>
    </row>
    <row r="438" spans="1:12" x14ac:dyDescent="0.25">
      <c r="A438">
        <v>22</v>
      </c>
      <c r="B438" s="1">
        <v>45928</v>
      </c>
      <c r="C438" t="s">
        <v>15</v>
      </c>
      <c r="D438">
        <v>7</v>
      </c>
      <c r="E438">
        <v>8</v>
      </c>
      <c r="F438" t="s">
        <v>73</v>
      </c>
      <c r="G438">
        <f t="shared" si="149"/>
        <v>4</v>
      </c>
      <c r="H438">
        <f t="shared" si="150"/>
        <v>0</v>
      </c>
      <c r="I438">
        <f t="shared" si="151"/>
        <v>4</v>
      </c>
      <c r="J438">
        <f t="shared" si="145"/>
        <v>0</v>
      </c>
      <c r="K438">
        <f t="shared" si="146"/>
        <v>0</v>
      </c>
      <c r="L438">
        <f t="shared" si="148"/>
        <v>-1</v>
      </c>
    </row>
    <row r="439" spans="1:12" x14ac:dyDescent="0.25">
      <c r="A439">
        <v>22</v>
      </c>
      <c r="B439" s="1">
        <v>45928</v>
      </c>
      <c r="C439" t="s">
        <v>15</v>
      </c>
      <c r="D439">
        <v>8</v>
      </c>
      <c r="E439">
        <v>7</v>
      </c>
      <c r="F439" t="s">
        <v>68</v>
      </c>
      <c r="G439">
        <f t="shared" si="149"/>
        <v>3</v>
      </c>
      <c r="H439">
        <f t="shared" si="150"/>
        <v>0</v>
      </c>
      <c r="I439">
        <f t="shared" si="151"/>
        <v>3</v>
      </c>
      <c r="J439">
        <f t="shared" si="145"/>
        <v>0</v>
      </c>
      <c r="K439">
        <f t="shared" si="146"/>
        <v>0</v>
      </c>
      <c r="L439">
        <f t="shared" si="148"/>
        <v>1</v>
      </c>
    </row>
    <row r="440" spans="1:12" x14ac:dyDescent="0.25">
      <c r="A440">
        <v>22</v>
      </c>
      <c r="B440" s="1">
        <v>45928</v>
      </c>
      <c r="C440" t="s">
        <v>15</v>
      </c>
      <c r="D440">
        <v>9</v>
      </c>
      <c r="E440">
        <v>11</v>
      </c>
      <c r="F440" t="s">
        <v>76</v>
      </c>
      <c r="G440">
        <f t="shared" si="149"/>
        <v>2</v>
      </c>
      <c r="H440">
        <f t="shared" si="150"/>
        <v>0</v>
      </c>
      <c r="I440">
        <f t="shared" si="151"/>
        <v>2</v>
      </c>
      <c r="J440">
        <f t="shared" si="145"/>
        <v>0</v>
      </c>
      <c r="K440">
        <f t="shared" si="146"/>
        <v>0</v>
      </c>
      <c r="L440">
        <f t="shared" si="148"/>
        <v>-2</v>
      </c>
    </row>
    <row r="441" spans="1:12" x14ac:dyDescent="0.25">
      <c r="A441">
        <v>22</v>
      </c>
      <c r="B441" s="1">
        <v>45928</v>
      </c>
      <c r="C441" t="s">
        <v>15</v>
      </c>
      <c r="D441">
        <v>10</v>
      </c>
      <c r="E441">
        <v>6</v>
      </c>
      <c r="F441" t="s">
        <v>71</v>
      </c>
      <c r="G441">
        <f t="shared" si="149"/>
        <v>1</v>
      </c>
      <c r="H441">
        <f t="shared" si="150"/>
        <v>0</v>
      </c>
      <c r="I441">
        <f t="shared" si="151"/>
        <v>1</v>
      </c>
      <c r="J441">
        <f t="shared" si="145"/>
        <v>0</v>
      </c>
      <c r="K441">
        <f t="shared" si="146"/>
        <v>0</v>
      </c>
      <c r="L441">
        <f t="shared" si="148"/>
        <v>4</v>
      </c>
    </row>
    <row r="442" spans="1:12" x14ac:dyDescent="0.25">
      <c r="A442">
        <v>23</v>
      </c>
      <c r="B442" s="1">
        <v>45935</v>
      </c>
      <c r="C442" t="s">
        <v>4</v>
      </c>
      <c r="D442">
        <v>1</v>
      </c>
      <c r="E442">
        <v>2</v>
      </c>
      <c r="F442" t="s">
        <v>63</v>
      </c>
      <c r="G442">
        <f t="shared" si="149"/>
        <v>10</v>
      </c>
      <c r="H442">
        <f t="shared" si="150"/>
        <v>9</v>
      </c>
      <c r="I442">
        <f t="shared" si="151"/>
        <v>19</v>
      </c>
      <c r="J442">
        <f t="shared" ref="J442:J461" si="152">COUNTIF(D442,"=1")</f>
        <v>1</v>
      </c>
      <c r="K442">
        <f t="shared" ref="K442:K461" si="153">COUNTIF(D442,"&lt;4")</f>
        <v>1</v>
      </c>
      <c r="L442">
        <f t="shared" si="148"/>
        <v>-1</v>
      </c>
    </row>
    <row r="443" spans="1:12" x14ac:dyDescent="0.25">
      <c r="A443">
        <v>23</v>
      </c>
      <c r="B443" s="1">
        <v>45935</v>
      </c>
      <c r="C443" t="s">
        <v>4</v>
      </c>
      <c r="D443">
        <v>2</v>
      </c>
      <c r="E443">
        <v>1</v>
      </c>
      <c r="F443" t="s">
        <v>58</v>
      </c>
      <c r="G443">
        <f t="shared" si="149"/>
        <v>9</v>
      </c>
      <c r="H443">
        <f t="shared" si="150"/>
        <v>7</v>
      </c>
      <c r="I443">
        <f t="shared" si="151"/>
        <v>16</v>
      </c>
      <c r="J443">
        <f t="shared" si="152"/>
        <v>0</v>
      </c>
      <c r="K443">
        <f t="shared" si="153"/>
        <v>1</v>
      </c>
      <c r="L443">
        <f t="shared" si="148"/>
        <v>1</v>
      </c>
    </row>
    <row r="444" spans="1:12" x14ac:dyDescent="0.25">
      <c r="A444">
        <v>23</v>
      </c>
      <c r="B444" s="1">
        <v>45935</v>
      </c>
      <c r="C444" t="s">
        <v>4</v>
      </c>
      <c r="D444">
        <v>3</v>
      </c>
      <c r="E444">
        <v>4</v>
      </c>
      <c r="F444" t="s">
        <v>66</v>
      </c>
      <c r="G444">
        <f t="shared" si="149"/>
        <v>8</v>
      </c>
      <c r="H444">
        <f t="shared" si="150"/>
        <v>5</v>
      </c>
      <c r="I444">
        <f t="shared" si="151"/>
        <v>13</v>
      </c>
      <c r="J444">
        <f t="shared" si="152"/>
        <v>0</v>
      </c>
      <c r="K444">
        <f t="shared" si="153"/>
        <v>1</v>
      </c>
      <c r="L444">
        <f t="shared" si="148"/>
        <v>-1</v>
      </c>
    </row>
    <row r="445" spans="1:12" x14ac:dyDescent="0.25">
      <c r="A445">
        <v>23</v>
      </c>
      <c r="B445" s="1">
        <v>45935</v>
      </c>
      <c r="C445" t="s">
        <v>4</v>
      </c>
      <c r="D445">
        <v>4</v>
      </c>
      <c r="E445">
        <v>3</v>
      </c>
      <c r="F445" t="s">
        <v>59</v>
      </c>
      <c r="G445">
        <f t="shared" si="149"/>
        <v>7</v>
      </c>
      <c r="H445">
        <f t="shared" si="150"/>
        <v>3</v>
      </c>
      <c r="I445">
        <f t="shared" si="151"/>
        <v>10</v>
      </c>
      <c r="J445">
        <f t="shared" si="152"/>
        <v>0</v>
      </c>
      <c r="K445">
        <f t="shared" si="153"/>
        <v>0</v>
      </c>
      <c r="L445">
        <f t="shared" si="148"/>
        <v>1</v>
      </c>
    </row>
    <row r="446" spans="1:12" x14ac:dyDescent="0.25">
      <c r="A446">
        <v>23</v>
      </c>
      <c r="B446" s="1">
        <v>45935</v>
      </c>
      <c r="C446" t="s">
        <v>4</v>
      </c>
      <c r="D446">
        <v>5</v>
      </c>
      <c r="E446">
        <v>5</v>
      </c>
      <c r="F446" t="s">
        <v>61</v>
      </c>
      <c r="G446">
        <f t="shared" si="149"/>
        <v>6</v>
      </c>
      <c r="H446">
        <f t="shared" si="150"/>
        <v>1</v>
      </c>
      <c r="I446">
        <f t="shared" si="151"/>
        <v>7</v>
      </c>
      <c r="J446">
        <f t="shared" si="152"/>
        <v>0</v>
      </c>
      <c r="K446">
        <f t="shared" si="153"/>
        <v>0</v>
      </c>
      <c r="L446">
        <f>D446-E446</f>
        <v>0</v>
      </c>
    </row>
    <row r="447" spans="1:12" x14ac:dyDescent="0.25">
      <c r="A447">
        <v>23</v>
      </c>
      <c r="B447" s="1">
        <v>45935</v>
      </c>
      <c r="C447" t="s">
        <v>4</v>
      </c>
      <c r="D447">
        <v>6</v>
      </c>
      <c r="E447">
        <v>7</v>
      </c>
      <c r="F447" t="s">
        <v>69</v>
      </c>
      <c r="G447">
        <f t="shared" si="149"/>
        <v>5</v>
      </c>
      <c r="H447">
        <f t="shared" si="150"/>
        <v>0</v>
      </c>
      <c r="I447">
        <f t="shared" si="151"/>
        <v>5</v>
      </c>
      <c r="J447">
        <f t="shared" si="152"/>
        <v>0</v>
      </c>
      <c r="K447">
        <f t="shared" si="153"/>
        <v>0</v>
      </c>
      <c r="L447">
        <f t="shared" ref="L447:L449" si="154">D447-E447</f>
        <v>-1</v>
      </c>
    </row>
    <row r="448" spans="1:12" x14ac:dyDescent="0.25">
      <c r="A448">
        <v>23</v>
      </c>
      <c r="B448" s="1">
        <v>45935</v>
      </c>
      <c r="C448" t="s">
        <v>4</v>
      </c>
      <c r="D448">
        <v>7</v>
      </c>
      <c r="E448">
        <v>6</v>
      </c>
      <c r="F448" t="s">
        <v>48</v>
      </c>
      <c r="G448">
        <f t="shared" si="149"/>
        <v>4</v>
      </c>
      <c r="H448">
        <f t="shared" si="150"/>
        <v>0</v>
      </c>
      <c r="I448">
        <f t="shared" si="151"/>
        <v>4</v>
      </c>
      <c r="J448">
        <f t="shared" si="152"/>
        <v>0</v>
      </c>
      <c r="K448">
        <f t="shared" si="153"/>
        <v>0</v>
      </c>
      <c r="L448">
        <f t="shared" si="154"/>
        <v>1</v>
      </c>
    </row>
    <row r="449" spans="1:12" x14ac:dyDescent="0.25">
      <c r="A449">
        <v>23</v>
      </c>
      <c r="B449" s="1">
        <v>45935</v>
      </c>
      <c r="C449" t="s">
        <v>4</v>
      </c>
      <c r="D449">
        <v>8</v>
      </c>
      <c r="E449">
        <v>8</v>
      </c>
      <c r="F449" t="s">
        <v>72</v>
      </c>
      <c r="G449">
        <f t="shared" si="149"/>
        <v>3</v>
      </c>
      <c r="H449">
        <f t="shared" si="150"/>
        <v>0</v>
      </c>
      <c r="I449">
        <f t="shared" si="151"/>
        <v>3</v>
      </c>
      <c r="J449">
        <f t="shared" si="152"/>
        <v>0</v>
      </c>
      <c r="K449">
        <f t="shared" si="153"/>
        <v>0</v>
      </c>
      <c r="L449">
        <f t="shared" si="154"/>
        <v>0</v>
      </c>
    </row>
    <row r="450" spans="1:12" x14ac:dyDescent="0.25">
      <c r="A450">
        <v>23</v>
      </c>
      <c r="B450" s="1">
        <v>45935</v>
      </c>
      <c r="C450" t="s">
        <v>4</v>
      </c>
      <c r="D450">
        <v>9</v>
      </c>
      <c r="E450">
        <v>10</v>
      </c>
      <c r="F450" t="s">
        <v>75</v>
      </c>
      <c r="G450">
        <f t="shared" si="149"/>
        <v>2</v>
      </c>
      <c r="H450">
        <f t="shared" si="150"/>
        <v>0</v>
      </c>
      <c r="I450">
        <f t="shared" si="151"/>
        <v>2</v>
      </c>
      <c r="J450">
        <f t="shared" si="152"/>
        <v>0</v>
      </c>
      <c r="K450">
        <f t="shared" si="153"/>
        <v>0</v>
      </c>
      <c r="L450">
        <f>D450-E450</f>
        <v>-1</v>
      </c>
    </row>
    <row r="451" spans="1:12" x14ac:dyDescent="0.25">
      <c r="A451">
        <v>23</v>
      </c>
      <c r="B451" s="1">
        <v>45935</v>
      </c>
      <c r="C451" t="s">
        <v>4</v>
      </c>
      <c r="D451">
        <v>10</v>
      </c>
      <c r="E451">
        <v>9</v>
      </c>
      <c r="F451" t="s">
        <v>51</v>
      </c>
      <c r="G451">
        <f t="shared" si="149"/>
        <v>1</v>
      </c>
      <c r="H451">
        <f t="shared" si="150"/>
        <v>0</v>
      </c>
      <c r="I451">
        <f t="shared" si="151"/>
        <v>1</v>
      </c>
      <c r="J451">
        <f t="shared" si="152"/>
        <v>0</v>
      </c>
      <c r="K451">
        <f t="shared" si="153"/>
        <v>0</v>
      </c>
      <c r="L451">
        <f t="shared" ref="L451:L465" si="155">D451-E451</f>
        <v>1</v>
      </c>
    </row>
    <row r="452" spans="1:12" x14ac:dyDescent="0.25">
      <c r="A452">
        <v>23</v>
      </c>
      <c r="B452" s="1">
        <v>45935</v>
      </c>
      <c r="C452" t="s">
        <v>15</v>
      </c>
      <c r="D452">
        <v>1</v>
      </c>
      <c r="E452">
        <v>1</v>
      </c>
      <c r="F452" t="s">
        <v>65</v>
      </c>
      <c r="G452">
        <f t="shared" si="149"/>
        <v>10</v>
      </c>
      <c r="H452">
        <f t="shared" si="150"/>
        <v>9</v>
      </c>
      <c r="I452">
        <f t="shared" si="151"/>
        <v>19</v>
      </c>
      <c r="J452">
        <f t="shared" si="152"/>
        <v>1</v>
      </c>
      <c r="K452">
        <f t="shared" si="153"/>
        <v>1</v>
      </c>
      <c r="L452">
        <f t="shared" si="155"/>
        <v>0</v>
      </c>
    </row>
    <row r="453" spans="1:12" x14ac:dyDescent="0.25">
      <c r="A453">
        <v>23</v>
      </c>
      <c r="B453" s="1">
        <v>45935</v>
      </c>
      <c r="C453" t="s">
        <v>15</v>
      </c>
      <c r="D453">
        <v>2</v>
      </c>
      <c r="E453">
        <v>2</v>
      </c>
      <c r="F453" t="s">
        <v>67</v>
      </c>
      <c r="G453">
        <f t="shared" si="149"/>
        <v>9</v>
      </c>
      <c r="H453">
        <f t="shared" si="150"/>
        <v>7</v>
      </c>
      <c r="I453">
        <f t="shared" si="151"/>
        <v>16</v>
      </c>
      <c r="J453">
        <f t="shared" si="152"/>
        <v>0</v>
      </c>
      <c r="K453">
        <f t="shared" si="153"/>
        <v>1</v>
      </c>
      <c r="L453">
        <f t="shared" si="155"/>
        <v>0</v>
      </c>
    </row>
    <row r="454" spans="1:12" x14ac:dyDescent="0.25">
      <c r="A454">
        <v>23</v>
      </c>
      <c r="B454" s="1">
        <v>45935</v>
      </c>
      <c r="C454" t="s">
        <v>15</v>
      </c>
      <c r="D454">
        <v>3</v>
      </c>
      <c r="E454">
        <v>4</v>
      </c>
      <c r="F454" t="s">
        <v>70</v>
      </c>
      <c r="G454">
        <f t="shared" ref="G454:G473" si="156">11-D454</f>
        <v>8</v>
      </c>
      <c r="H454">
        <f t="shared" ref="H454:H473" si="157">IF(D454&lt;6,11-2*D454,0)</f>
        <v>5</v>
      </c>
      <c r="I454">
        <f t="shared" ref="I454:I473" si="158">G454+H454</f>
        <v>13</v>
      </c>
      <c r="J454">
        <f t="shared" si="152"/>
        <v>0</v>
      </c>
      <c r="K454">
        <f t="shared" si="153"/>
        <v>1</v>
      </c>
      <c r="L454">
        <f t="shared" si="155"/>
        <v>-1</v>
      </c>
    </row>
    <row r="455" spans="1:12" x14ac:dyDescent="0.25">
      <c r="A455">
        <v>23</v>
      </c>
      <c r="B455" s="1">
        <v>45935</v>
      </c>
      <c r="C455" t="s">
        <v>15</v>
      </c>
      <c r="D455">
        <v>4</v>
      </c>
      <c r="E455">
        <v>3</v>
      </c>
      <c r="F455" t="s">
        <v>56</v>
      </c>
      <c r="G455">
        <f t="shared" si="156"/>
        <v>7</v>
      </c>
      <c r="H455">
        <f t="shared" si="157"/>
        <v>3</v>
      </c>
      <c r="I455">
        <f t="shared" si="158"/>
        <v>10</v>
      </c>
      <c r="J455">
        <f t="shared" si="152"/>
        <v>0</v>
      </c>
      <c r="K455">
        <f t="shared" si="153"/>
        <v>0</v>
      </c>
      <c r="L455">
        <f t="shared" si="155"/>
        <v>1</v>
      </c>
    </row>
    <row r="456" spans="1:12" x14ac:dyDescent="0.25">
      <c r="A456">
        <v>23</v>
      </c>
      <c r="B456" s="1">
        <v>45935</v>
      </c>
      <c r="C456" t="s">
        <v>15</v>
      </c>
      <c r="D456">
        <v>5</v>
      </c>
      <c r="E456">
        <v>6</v>
      </c>
      <c r="F456" t="s">
        <v>74</v>
      </c>
      <c r="G456">
        <f t="shared" si="156"/>
        <v>6</v>
      </c>
      <c r="H456">
        <f t="shared" si="157"/>
        <v>1</v>
      </c>
      <c r="I456">
        <f t="shared" si="158"/>
        <v>7</v>
      </c>
      <c r="J456">
        <f t="shared" si="152"/>
        <v>0</v>
      </c>
      <c r="K456">
        <f t="shared" si="153"/>
        <v>0</v>
      </c>
      <c r="L456">
        <f t="shared" si="155"/>
        <v>-1</v>
      </c>
    </row>
    <row r="457" spans="1:12" x14ac:dyDescent="0.25">
      <c r="A457">
        <v>23</v>
      </c>
      <c r="B457" s="1">
        <v>45935</v>
      </c>
      <c r="C457" t="s">
        <v>15</v>
      </c>
      <c r="D457">
        <v>6</v>
      </c>
      <c r="E457">
        <v>7</v>
      </c>
      <c r="F457" t="s">
        <v>73</v>
      </c>
      <c r="G457">
        <f t="shared" si="156"/>
        <v>5</v>
      </c>
      <c r="H457">
        <f t="shared" si="157"/>
        <v>0</v>
      </c>
      <c r="I457">
        <f t="shared" si="158"/>
        <v>5</v>
      </c>
      <c r="J457">
        <f t="shared" si="152"/>
        <v>0</v>
      </c>
      <c r="K457">
        <f t="shared" si="153"/>
        <v>0</v>
      </c>
      <c r="L457">
        <f t="shared" si="155"/>
        <v>-1</v>
      </c>
    </row>
    <row r="458" spans="1:12" x14ac:dyDescent="0.25">
      <c r="A458">
        <v>23</v>
      </c>
      <c r="B458" s="1">
        <v>45935</v>
      </c>
      <c r="C458" t="s">
        <v>15</v>
      </c>
      <c r="D458">
        <v>7</v>
      </c>
      <c r="E458">
        <v>5</v>
      </c>
      <c r="F458" t="s">
        <v>64</v>
      </c>
      <c r="G458">
        <f t="shared" si="156"/>
        <v>4</v>
      </c>
      <c r="H458">
        <f t="shared" si="157"/>
        <v>0</v>
      </c>
      <c r="I458">
        <f t="shared" si="158"/>
        <v>4</v>
      </c>
      <c r="J458">
        <f t="shared" si="152"/>
        <v>0</v>
      </c>
      <c r="K458">
        <f t="shared" si="153"/>
        <v>0</v>
      </c>
      <c r="L458">
        <f t="shared" si="155"/>
        <v>2</v>
      </c>
    </row>
    <row r="459" spans="1:12" x14ac:dyDescent="0.25">
      <c r="A459">
        <v>23</v>
      </c>
      <c r="B459" s="1">
        <v>45935</v>
      </c>
      <c r="C459" t="s">
        <v>15</v>
      </c>
      <c r="D459">
        <v>8</v>
      </c>
      <c r="E459">
        <v>9</v>
      </c>
      <c r="F459" t="s">
        <v>76</v>
      </c>
      <c r="G459">
        <f t="shared" si="156"/>
        <v>3</v>
      </c>
      <c r="H459">
        <f t="shared" si="157"/>
        <v>0</v>
      </c>
      <c r="I459">
        <f t="shared" si="158"/>
        <v>3</v>
      </c>
      <c r="J459">
        <f t="shared" si="152"/>
        <v>0</v>
      </c>
      <c r="K459">
        <f t="shared" si="153"/>
        <v>0</v>
      </c>
      <c r="L459">
        <f t="shared" si="155"/>
        <v>-1</v>
      </c>
    </row>
    <row r="460" spans="1:12" x14ac:dyDescent="0.25">
      <c r="A460">
        <v>23</v>
      </c>
      <c r="B460" s="1">
        <v>45935</v>
      </c>
      <c r="C460" t="s">
        <v>15</v>
      </c>
      <c r="D460">
        <v>9</v>
      </c>
      <c r="E460">
        <v>8</v>
      </c>
      <c r="F460" t="s">
        <v>68</v>
      </c>
      <c r="G460">
        <f t="shared" si="156"/>
        <v>2</v>
      </c>
      <c r="H460">
        <f t="shared" si="157"/>
        <v>0</v>
      </c>
      <c r="I460">
        <f t="shared" si="158"/>
        <v>2</v>
      </c>
      <c r="J460">
        <f t="shared" si="152"/>
        <v>0</v>
      </c>
      <c r="K460">
        <f t="shared" si="153"/>
        <v>0</v>
      </c>
      <c r="L460">
        <f t="shared" si="155"/>
        <v>1</v>
      </c>
    </row>
    <row r="461" spans="1:12" x14ac:dyDescent="0.25">
      <c r="A461">
        <v>23</v>
      </c>
      <c r="B461" s="1">
        <v>45935</v>
      </c>
      <c r="C461" t="s">
        <v>15</v>
      </c>
      <c r="D461">
        <v>10</v>
      </c>
      <c r="E461">
        <v>11</v>
      </c>
      <c r="F461" t="s">
        <v>77</v>
      </c>
      <c r="G461">
        <f t="shared" si="156"/>
        <v>1</v>
      </c>
      <c r="H461">
        <f t="shared" si="157"/>
        <v>0</v>
      </c>
      <c r="I461">
        <f t="shared" si="158"/>
        <v>1</v>
      </c>
      <c r="J461">
        <f t="shared" si="152"/>
        <v>0</v>
      </c>
      <c r="K461">
        <f t="shared" si="153"/>
        <v>0</v>
      </c>
      <c r="L461">
        <f t="shared" si="155"/>
        <v>-1</v>
      </c>
    </row>
    <row r="462" spans="1:12" x14ac:dyDescent="0.25">
      <c r="A462">
        <v>24</v>
      </c>
      <c r="B462" s="1">
        <v>45942</v>
      </c>
      <c r="C462" t="s">
        <v>4</v>
      </c>
      <c r="D462">
        <v>1</v>
      </c>
      <c r="E462">
        <v>1</v>
      </c>
      <c r="F462" t="s">
        <v>63</v>
      </c>
      <c r="G462">
        <f t="shared" si="156"/>
        <v>10</v>
      </c>
      <c r="H462">
        <f t="shared" si="157"/>
        <v>9</v>
      </c>
      <c r="I462">
        <f t="shared" si="158"/>
        <v>19</v>
      </c>
      <c r="J462">
        <f t="shared" ref="J462:J481" si="159">COUNTIF(D462,"=1")</f>
        <v>1</v>
      </c>
      <c r="K462">
        <f t="shared" ref="K462:K481" si="160">COUNTIF(D462,"&lt;4")</f>
        <v>1</v>
      </c>
      <c r="L462">
        <f t="shared" si="155"/>
        <v>0</v>
      </c>
    </row>
    <row r="463" spans="1:12" x14ac:dyDescent="0.25">
      <c r="A463">
        <v>24</v>
      </c>
      <c r="B463" s="1">
        <v>45942</v>
      </c>
      <c r="C463" t="s">
        <v>4</v>
      </c>
      <c r="D463">
        <v>2</v>
      </c>
      <c r="E463">
        <v>3</v>
      </c>
      <c r="F463" t="s">
        <v>66</v>
      </c>
      <c r="G463">
        <f t="shared" si="156"/>
        <v>9</v>
      </c>
      <c r="H463">
        <f t="shared" si="157"/>
        <v>7</v>
      </c>
      <c r="I463">
        <f t="shared" si="158"/>
        <v>16</v>
      </c>
      <c r="J463">
        <f t="shared" si="159"/>
        <v>0</v>
      </c>
      <c r="K463">
        <f t="shared" si="160"/>
        <v>1</v>
      </c>
      <c r="L463">
        <f t="shared" si="155"/>
        <v>-1</v>
      </c>
    </row>
    <row r="464" spans="1:12" x14ac:dyDescent="0.25">
      <c r="A464">
        <v>24</v>
      </c>
      <c r="B464" s="1">
        <v>45942</v>
      </c>
      <c r="C464" t="s">
        <v>4</v>
      </c>
      <c r="D464">
        <v>3</v>
      </c>
      <c r="E464">
        <v>2</v>
      </c>
      <c r="F464" t="s">
        <v>58</v>
      </c>
      <c r="G464">
        <f t="shared" si="156"/>
        <v>8</v>
      </c>
      <c r="H464">
        <f t="shared" si="157"/>
        <v>5</v>
      </c>
      <c r="I464">
        <f t="shared" si="158"/>
        <v>13</v>
      </c>
      <c r="J464">
        <f t="shared" si="159"/>
        <v>0</v>
      </c>
      <c r="K464">
        <f t="shared" si="160"/>
        <v>1</v>
      </c>
      <c r="L464">
        <f t="shared" si="155"/>
        <v>1</v>
      </c>
    </row>
    <row r="465" spans="1:12" x14ac:dyDescent="0.25">
      <c r="A465">
        <v>24</v>
      </c>
      <c r="B465" s="1">
        <v>45942</v>
      </c>
      <c r="C465" t="s">
        <v>4</v>
      </c>
      <c r="D465">
        <v>4</v>
      </c>
      <c r="E465">
        <v>4</v>
      </c>
      <c r="F465" t="s">
        <v>59</v>
      </c>
      <c r="G465">
        <f t="shared" si="156"/>
        <v>7</v>
      </c>
      <c r="H465">
        <f t="shared" si="157"/>
        <v>3</v>
      </c>
      <c r="I465">
        <f t="shared" si="158"/>
        <v>10</v>
      </c>
      <c r="J465">
        <f t="shared" si="159"/>
        <v>0</v>
      </c>
      <c r="K465">
        <f t="shared" si="160"/>
        <v>0</v>
      </c>
      <c r="L465">
        <f t="shared" si="155"/>
        <v>0</v>
      </c>
    </row>
    <row r="466" spans="1:12" x14ac:dyDescent="0.25">
      <c r="A466">
        <v>24</v>
      </c>
      <c r="B466" s="1">
        <v>45942</v>
      </c>
      <c r="C466" t="s">
        <v>4</v>
      </c>
      <c r="D466">
        <v>5</v>
      </c>
      <c r="E466">
        <v>8</v>
      </c>
      <c r="F466" t="s">
        <v>72</v>
      </c>
      <c r="G466">
        <f t="shared" si="156"/>
        <v>6</v>
      </c>
      <c r="H466">
        <f t="shared" si="157"/>
        <v>1</v>
      </c>
      <c r="I466">
        <f t="shared" si="158"/>
        <v>7</v>
      </c>
      <c r="J466">
        <f t="shared" si="159"/>
        <v>0</v>
      </c>
      <c r="K466">
        <f t="shared" si="160"/>
        <v>0</v>
      </c>
      <c r="L466">
        <f>D466-E466</f>
        <v>-3</v>
      </c>
    </row>
    <row r="467" spans="1:12" x14ac:dyDescent="0.25">
      <c r="A467">
        <v>24</v>
      </c>
      <c r="B467" s="1">
        <v>45942</v>
      </c>
      <c r="C467" t="s">
        <v>4</v>
      </c>
      <c r="D467">
        <v>6</v>
      </c>
      <c r="E467">
        <v>5</v>
      </c>
      <c r="F467" t="s">
        <v>61</v>
      </c>
      <c r="G467">
        <f t="shared" si="156"/>
        <v>5</v>
      </c>
      <c r="H467">
        <f t="shared" si="157"/>
        <v>0</v>
      </c>
      <c r="I467">
        <f t="shared" si="158"/>
        <v>5</v>
      </c>
      <c r="J467">
        <f t="shared" si="159"/>
        <v>0</v>
      </c>
      <c r="K467">
        <f t="shared" si="160"/>
        <v>0</v>
      </c>
      <c r="L467">
        <f t="shared" ref="L467:L469" si="161">D467-E467</f>
        <v>1</v>
      </c>
    </row>
    <row r="468" spans="1:12" x14ac:dyDescent="0.25">
      <c r="A468">
        <v>24</v>
      </c>
      <c r="B468" s="1">
        <v>45942</v>
      </c>
      <c r="C468" t="s">
        <v>4</v>
      </c>
      <c r="D468">
        <v>7</v>
      </c>
      <c r="E468">
        <v>6</v>
      </c>
      <c r="F468" t="s">
        <v>69</v>
      </c>
      <c r="G468">
        <f t="shared" si="156"/>
        <v>4</v>
      </c>
      <c r="H468">
        <f t="shared" si="157"/>
        <v>0</v>
      </c>
      <c r="I468">
        <f t="shared" si="158"/>
        <v>4</v>
      </c>
      <c r="J468">
        <f t="shared" si="159"/>
        <v>0</v>
      </c>
      <c r="K468">
        <f t="shared" si="160"/>
        <v>0</v>
      </c>
      <c r="L468">
        <f t="shared" si="161"/>
        <v>1</v>
      </c>
    </row>
    <row r="469" spans="1:12" x14ac:dyDescent="0.25">
      <c r="A469">
        <v>24</v>
      </c>
      <c r="B469" s="1">
        <v>45942</v>
      </c>
      <c r="C469" t="s">
        <v>4</v>
      </c>
      <c r="D469">
        <v>8</v>
      </c>
      <c r="E469">
        <v>9</v>
      </c>
      <c r="F469" t="s">
        <v>75</v>
      </c>
      <c r="G469">
        <f t="shared" si="156"/>
        <v>3</v>
      </c>
      <c r="H469">
        <f t="shared" si="157"/>
        <v>0</v>
      </c>
      <c r="I469">
        <f t="shared" si="158"/>
        <v>3</v>
      </c>
      <c r="J469">
        <f t="shared" si="159"/>
        <v>0</v>
      </c>
      <c r="K469">
        <f t="shared" si="160"/>
        <v>0</v>
      </c>
      <c r="L469">
        <f t="shared" si="161"/>
        <v>-1</v>
      </c>
    </row>
    <row r="470" spans="1:12" x14ac:dyDescent="0.25">
      <c r="A470">
        <v>24</v>
      </c>
      <c r="B470" s="1">
        <v>45942</v>
      </c>
      <c r="C470" t="s">
        <v>4</v>
      </c>
      <c r="D470">
        <v>9</v>
      </c>
      <c r="E470">
        <v>11</v>
      </c>
      <c r="F470" t="s">
        <v>78</v>
      </c>
      <c r="G470">
        <f t="shared" si="156"/>
        <v>2</v>
      </c>
      <c r="H470">
        <f t="shared" si="157"/>
        <v>0</v>
      </c>
      <c r="I470">
        <f t="shared" si="158"/>
        <v>2</v>
      </c>
      <c r="J470">
        <f t="shared" si="159"/>
        <v>0</v>
      </c>
      <c r="K470">
        <f t="shared" si="160"/>
        <v>0</v>
      </c>
      <c r="L470">
        <f>D470-E470</f>
        <v>-2</v>
      </c>
    </row>
    <row r="471" spans="1:12" x14ac:dyDescent="0.25">
      <c r="A471">
        <v>24</v>
      </c>
      <c r="B471" s="1">
        <v>45942</v>
      </c>
      <c r="C471" t="s">
        <v>4</v>
      </c>
      <c r="D471">
        <v>10</v>
      </c>
      <c r="E471">
        <v>7</v>
      </c>
      <c r="F471" t="s">
        <v>48</v>
      </c>
      <c r="G471">
        <f t="shared" si="156"/>
        <v>1</v>
      </c>
      <c r="H471">
        <f t="shared" si="157"/>
        <v>0</v>
      </c>
      <c r="I471">
        <f t="shared" si="158"/>
        <v>1</v>
      </c>
      <c r="J471">
        <f t="shared" si="159"/>
        <v>0</v>
      </c>
      <c r="K471">
        <f t="shared" si="160"/>
        <v>0</v>
      </c>
      <c r="L471">
        <f t="shared" ref="L471:L485" si="162">D471-E471</f>
        <v>3</v>
      </c>
    </row>
    <row r="472" spans="1:12" x14ac:dyDescent="0.25">
      <c r="A472">
        <v>24</v>
      </c>
      <c r="B472" s="1">
        <v>45942</v>
      </c>
      <c r="C472" t="s">
        <v>15</v>
      </c>
      <c r="D472">
        <v>1</v>
      </c>
      <c r="E472">
        <v>2</v>
      </c>
      <c r="F472" t="s">
        <v>67</v>
      </c>
      <c r="G472">
        <f t="shared" si="156"/>
        <v>10</v>
      </c>
      <c r="H472">
        <f t="shared" si="157"/>
        <v>9</v>
      </c>
      <c r="I472">
        <f t="shared" si="158"/>
        <v>19</v>
      </c>
      <c r="J472">
        <f t="shared" si="159"/>
        <v>1</v>
      </c>
      <c r="K472">
        <f t="shared" si="160"/>
        <v>1</v>
      </c>
      <c r="L472">
        <f t="shared" si="162"/>
        <v>-1</v>
      </c>
    </row>
    <row r="473" spans="1:12" x14ac:dyDescent="0.25">
      <c r="A473">
        <v>24</v>
      </c>
      <c r="B473" s="1">
        <v>45942</v>
      </c>
      <c r="C473" t="s">
        <v>15</v>
      </c>
      <c r="D473">
        <v>2</v>
      </c>
      <c r="E473">
        <v>1</v>
      </c>
      <c r="F473" t="s">
        <v>65</v>
      </c>
      <c r="G473">
        <f t="shared" si="156"/>
        <v>9</v>
      </c>
      <c r="H473">
        <f t="shared" si="157"/>
        <v>7</v>
      </c>
      <c r="I473">
        <f t="shared" si="158"/>
        <v>16</v>
      </c>
      <c r="J473">
        <f t="shared" si="159"/>
        <v>0</v>
      </c>
      <c r="K473">
        <f t="shared" si="160"/>
        <v>1</v>
      </c>
      <c r="L473">
        <f t="shared" si="162"/>
        <v>1</v>
      </c>
    </row>
    <row r="474" spans="1:12" x14ac:dyDescent="0.25">
      <c r="A474">
        <v>24</v>
      </c>
      <c r="B474" s="1">
        <v>45942</v>
      </c>
      <c r="C474" t="s">
        <v>15</v>
      </c>
      <c r="D474">
        <v>3</v>
      </c>
      <c r="E474">
        <v>3</v>
      </c>
      <c r="F474" t="s">
        <v>70</v>
      </c>
      <c r="G474">
        <f t="shared" ref="G474:G493" si="163">11-D474</f>
        <v>8</v>
      </c>
      <c r="H474">
        <f t="shared" ref="H474:H493" si="164">IF(D474&lt;6,11-2*D474,0)</f>
        <v>5</v>
      </c>
      <c r="I474">
        <f t="shared" ref="I474:I493" si="165">G474+H474</f>
        <v>13</v>
      </c>
      <c r="J474">
        <f t="shared" si="159"/>
        <v>0</v>
      </c>
      <c r="K474">
        <f t="shared" si="160"/>
        <v>1</v>
      </c>
      <c r="L474">
        <f t="shared" si="162"/>
        <v>0</v>
      </c>
    </row>
    <row r="475" spans="1:12" x14ac:dyDescent="0.25">
      <c r="A475">
        <v>24</v>
      </c>
      <c r="B475" s="1">
        <v>45942</v>
      </c>
      <c r="C475" t="s">
        <v>15</v>
      </c>
      <c r="D475">
        <v>4</v>
      </c>
      <c r="E475">
        <v>5</v>
      </c>
      <c r="F475" t="s">
        <v>74</v>
      </c>
      <c r="G475">
        <f t="shared" si="163"/>
        <v>7</v>
      </c>
      <c r="H475">
        <f t="shared" si="164"/>
        <v>3</v>
      </c>
      <c r="I475">
        <f t="shared" si="165"/>
        <v>10</v>
      </c>
      <c r="J475">
        <f t="shared" si="159"/>
        <v>0</v>
      </c>
      <c r="K475">
        <f t="shared" si="160"/>
        <v>0</v>
      </c>
      <c r="L475">
        <f t="shared" si="162"/>
        <v>-1</v>
      </c>
    </row>
    <row r="476" spans="1:12" x14ac:dyDescent="0.25">
      <c r="A476">
        <v>24</v>
      </c>
      <c r="B476" s="1">
        <v>45942</v>
      </c>
      <c r="C476" t="s">
        <v>15</v>
      </c>
      <c r="D476">
        <v>5</v>
      </c>
      <c r="E476">
        <v>6</v>
      </c>
      <c r="F476" t="s">
        <v>73</v>
      </c>
      <c r="G476">
        <f t="shared" si="163"/>
        <v>6</v>
      </c>
      <c r="H476">
        <f t="shared" si="164"/>
        <v>1</v>
      </c>
      <c r="I476">
        <f t="shared" si="165"/>
        <v>7</v>
      </c>
      <c r="J476">
        <f t="shared" si="159"/>
        <v>0</v>
      </c>
      <c r="K476">
        <f t="shared" si="160"/>
        <v>0</v>
      </c>
      <c r="L476">
        <f t="shared" si="162"/>
        <v>-1</v>
      </c>
    </row>
    <row r="477" spans="1:12" x14ac:dyDescent="0.25">
      <c r="A477">
        <v>24</v>
      </c>
      <c r="B477" s="1">
        <v>45942</v>
      </c>
      <c r="C477" t="s">
        <v>15</v>
      </c>
      <c r="D477">
        <v>6</v>
      </c>
      <c r="E477">
        <v>8</v>
      </c>
      <c r="F477" t="s">
        <v>76</v>
      </c>
      <c r="G477">
        <f t="shared" si="163"/>
        <v>5</v>
      </c>
      <c r="H477">
        <f t="shared" si="164"/>
        <v>0</v>
      </c>
      <c r="I477">
        <f t="shared" si="165"/>
        <v>5</v>
      </c>
      <c r="J477">
        <f t="shared" si="159"/>
        <v>0</v>
      </c>
      <c r="K477">
        <f t="shared" si="160"/>
        <v>0</v>
      </c>
      <c r="L477">
        <f t="shared" si="162"/>
        <v>-2</v>
      </c>
    </row>
    <row r="478" spans="1:12" x14ac:dyDescent="0.25">
      <c r="A478">
        <v>24</v>
      </c>
      <c r="B478" s="1">
        <v>45942</v>
      </c>
      <c r="C478" t="s">
        <v>15</v>
      </c>
      <c r="D478">
        <v>7</v>
      </c>
      <c r="E478">
        <v>4</v>
      </c>
      <c r="F478" t="s">
        <v>56</v>
      </c>
      <c r="G478">
        <f t="shared" si="163"/>
        <v>4</v>
      </c>
      <c r="H478">
        <f t="shared" si="164"/>
        <v>0</v>
      </c>
      <c r="I478">
        <f t="shared" si="165"/>
        <v>4</v>
      </c>
      <c r="J478">
        <f t="shared" si="159"/>
        <v>0</v>
      </c>
      <c r="K478">
        <f t="shared" si="160"/>
        <v>0</v>
      </c>
      <c r="L478">
        <f t="shared" si="162"/>
        <v>3</v>
      </c>
    </row>
    <row r="479" spans="1:12" x14ac:dyDescent="0.25">
      <c r="A479">
        <v>24</v>
      </c>
      <c r="B479" s="1">
        <v>45942</v>
      </c>
      <c r="C479" t="s">
        <v>15</v>
      </c>
      <c r="D479">
        <v>8</v>
      </c>
      <c r="E479">
        <v>10</v>
      </c>
      <c r="F479" t="s">
        <v>77</v>
      </c>
      <c r="G479">
        <f t="shared" si="163"/>
        <v>3</v>
      </c>
      <c r="H479">
        <f t="shared" si="164"/>
        <v>0</v>
      </c>
      <c r="I479">
        <f t="shared" si="165"/>
        <v>3</v>
      </c>
      <c r="J479">
        <f t="shared" si="159"/>
        <v>0</v>
      </c>
      <c r="K479">
        <f t="shared" si="160"/>
        <v>0</v>
      </c>
      <c r="L479">
        <f t="shared" si="162"/>
        <v>-2</v>
      </c>
    </row>
    <row r="480" spans="1:12" x14ac:dyDescent="0.25">
      <c r="A480">
        <v>24</v>
      </c>
      <c r="B480" s="1">
        <v>45942</v>
      </c>
      <c r="C480" t="s">
        <v>15</v>
      </c>
      <c r="D480">
        <v>9</v>
      </c>
      <c r="E480">
        <v>7</v>
      </c>
      <c r="F480" t="s">
        <v>64</v>
      </c>
      <c r="G480">
        <f t="shared" si="163"/>
        <v>2</v>
      </c>
      <c r="H480">
        <f t="shared" si="164"/>
        <v>0</v>
      </c>
      <c r="I480">
        <f t="shared" si="165"/>
        <v>2</v>
      </c>
      <c r="J480">
        <f t="shared" si="159"/>
        <v>0</v>
      </c>
      <c r="K480">
        <f t="shared" si="160"/>
        <v>0</v>
      </c>
      <c r="L480">
        <f t="shared" si="162"/>
        <v>2</v>
      </c>
    </row>
    <row r="481" spans="1:12" x14ac:dyDescent="0.25">
      <c r="A481">
        <v>24</v>
      </c>
      <c r="B481" s="1">
        <v>45942</v>
      </c>
      <c r="C481" t="s">
        <v>15</v>
      </c>
      <c r="D481">
        <v>10</v>
      </c>
      <c r="E481">
        <v>9</v>
      </c>
      <c r="F481" t="s">
        <v>68</v>
      </c>
      <c r="G481">
        <f t="shared" si="163"/>
        <v>1</v>
      </c>
      <c r="H481">
        <f t="shared" si="164"/>
        <v>0</v>
      </c>
      <c r="I481">
        <f t="shared" si="165"/>
        <v>1</v>
      </c>
      <c r="J481">
        <f t="shared" si="159"/>
        <v>0</v>
      </c>
      <c r="K481">
        <f t="shared" si="160"/>
        <v>0</v>
      </c>
      <c r="L481">
        <f t="shared" si="162"/>
        <v>1</v>
      </c>
    </row>
    <row r="482" spans="1:12" x14ac:dyDescent="0.25">
      <c r="A482">
        <v>25</v>
      </c>
      <c r="B482" s="1">
        <v>45949</v>
      </c>
      <c r="C482" t="s">
        <v>4</v>
      </c>
      <c r="D482">
        <v>1</v>
      </c>
      <c r="E482">
        <v>1</v>
      </c>
      <c r="F482" t="s">
        <v>63</v>
      </c>
      <c r="G482">
        <f t="shared" si="163"/>
        <v>10</v>
      </c>
      <c r="H482">
        <f t="shared" si="164"/>
        <v>9</v>
      </c>
      <c r="I482">
        <f t="shared" si="165"/>
        <v>19</v>
      </c>
      <c r="J482">
        <f t="shared" ref="J482:J501" si="166">COUNTIF(D482,"=1")</f>
        <v>1</v>
      </c>
      <c r="K482">
        <f t="shared" ref="K482:K501" si="167">COUNTIF(D482,"&lt;4")</f>
        <v>1</v>
      </c>
      <c r="L482">
        <f t="shared" si="162"/>
        <v>0</v>
      </c>
    </row>
    <row r="483" spans="1:12" x14ac:dyDescent="0.25">
      <c r="A483">
        <v>25</v>
      </c>
      <c r="B483" s="1">
        <v>45949</v>
      </c>
      <c r="C483" t="s">
        <v>4</v>
      </c>
      <c r="D483">
        <v>2</v>
      </c>
      <c r="E483">
        <v>2</v>
      </c>
      <c r="F483" t="s">
        <v>66</v>
      </c>
      <c r="G483">
        <f t="shared" si="163"/>
        <v>9</v>
      </c>
      <c r="H483">
        <f t="shared" si="164"/>
        <v>7</v>
      </c>
      <c r="I483">
        <f t="shared" si="165"/>
        <v>16</v>
      </c>
      <c r="J483">
        <f t="shared" si="166"/>
        <v>0</v>
      </c>
      <c r="K483">
        <f t="shared" si="167"/>
        <v>1</v>
      </c>
      <c r="L483">
        <f t="shared" si="162"/>
        <v>0</v>
      </c>
    </row>
    <row r="484" spans="1:12" x14ac:dyDescent="0.25">
      <c r="A484">
        <v>25</v>
      </c>
      <c r="B484" s="1">
        <v>45949</v>
      </c>
      <c r="C484" t="s">
        <v>4</v>
      </c>
      <c r="D484">
        <v>3</v>
      </c>
      <c r="E484">
        <v>5</v>
      </c>
      <c r="F484" t="s">
        <v>72</v>
      </c>
      <c r="G484">
        <f t="shared" si="163"/>
        <v>8</v>
      </c>
      <c r="H484">
        <f t="shared" si="164"/>
        <v>5</v>
      </c>
      <c r="I484">
        <f t="shared" si="165"/>
        <v>13</v>
      </c>
      <c r="J484">
        <f t="shared" si="166"/>
        <v>0</v>
      </c>
      <c r="K484">
        <f t="shared" si="167"/>
        <v>1</v>
      </c>
      <c r="L484">
        <f t="shared" si="162"/>
        <v>-2</v>
      </c>
    </row>
    <row r="485" spans="1:12" x14ac:dyDescent="0.25">
      <c r="A485">
        <v>25</v>
      </c>
      <c r="B485" s="1">
        <v>45949</v>
      </c>
      <c r="C485" t="s">
        <v>4</v>
      </c>
      <c r="D485">
        <v>4</v>
      </c>
      <c r="E485">
        <v>3</v>
      </c>
      <c r="F485" t="s">
        <v>58</v>
      </c>
      <c r="G485">
        <f t="shared" si="163"/>
        <v>7</v>
      </c>
      <c r="H485">
        <f t="shared" si="164"/>
        <v>3</v>
      </c>
      <c r="I485">
        <f t="shared" si="165"/>
        <v>10</v>
      </c>
      <c r="J485">
        <f t="shared" si="166"/>
        <v>0</v>
      </c>
      <c r="K485">
        <f t="shared" si="167"/>
        <v>0</v>
      </c>
      <c r="L485">
        <f t="shared" si="162"/>
        <v>1</v>
      </c>
    </row>
    <row r="486" spans="1:12" x14ac:dyDescent="0.25">
      <c r="A486">
        <v>25</v>
      </c>
      <c r="B486" s="1">
        <v>45949</v>
      </c>
      <c r="C486" t="s">
        <v>4</v>
      </c>
      <c r="D486">
        <v>5</v>
      </c>
      <c r="E486">
        <v>4</v>
      </c>
      <c r="F486" t="s">
        <v>59</v>
      </c>
      <c r="G486">
        <f t="shared" si="163"/>
        <v>6</v>
      </c>
      <c r="H486">
        <f t="shared" si="164"/>
        <v>1</v>
      </c>
      <c r="I486">
        <f t="shared" si="165"/>
        <v>7</v>
      </c>
      <c r="J486">
        <f t="shared" si="166"/>
        <v>0</v>
      </c>
      <c r="K486">
        <f t="shared" si="167"/>
        <v>0</v>
      </c>
      <c r="L486">
        <f>D486-E486</f>
        <v>1</v>
      </c>
    </row>
    <row r="487" spans="1:12" x14ac:dyDescent="0.25">
      <c r="A487">
        <v>25</v>
      </c>
      <c r="B487" s="1">
        <v>45949</v>
      </c>
      <c r="C487" t="s">
        <v>4</v>
      </c>
      <c r="D487">
        <v>6</v>
      </c>
      <c r="E487">
        <v>6</v>
      </c>
      <c r="F487" t="s">
        <v>61</v>
      </c>
      <c r="G487">
        <f t="shared" si="163"/>
        <v>5</v>
      </c>
      <c r="H487">
        <f t="shared" si="164"/>
        <v>0</v>
      </c>
      <c r="I487">
        <f t="shared" si="165"/>
        <v>5</v>
      </c>
      <c r="J487">
        <f t="shared" si="166"/>
        <v>0</v>
      </c>
      <c r="K487">
        <f t="shared" si="167"/>
        <v>0</v>
      </c>
      <c r="L487">
        <f t="shared" ref="L487:L489" si="168">D487-E487</f>
        <v>0</v>
      </c>
    </row>
    <row r="488" spans="1:12" x14ac:dyDescent="0.25">
      <c r="A488">
        <v>25</v>
      </c>
      <c r="B488" s="1">
        <v>45949</v>
      </c>
      <c r="C488" t="s">
        <v>4</v>
      </c>
      <c r="D488">
        <v>7</v>
      </c>
      <c r="E488">
        <v>8</v>
      </c>
      <c r="F488" t="s">
        <v>75</v>
      </c>
      <c r="G488">
        <f t="shared" si="163"/>
        <v>4</v>
      </c>
      <c r="H488">
        <f t="shared" si="164"/>
        <v>0</v>
      </c>
      <c r="I488">
        <f t="shared" si="165"/>
        <v>4</v>
      </c>
      <c r="J488">
        <f t="shared" si="166"/>
        <v>0</v>
      </c>
      <c r="K488">
        <f t="shared" si="167"/>
        <v>0</v>
      </c>
      <c r="L488">
        <f t="shared" si="168"/>
        <v>-1</v>
      </c>
    </row>
    <row r="489" spans="1:12" x14ac:dyDescent="0.25">
      <c r="A489">
        <v>25</v>
      </c>
      <c r="B489" s="1">
        <v>45949</v>
      </c>
      <c r="C489" t="s">
        <v>4</v>
      </c>
      <c r="D489">
        <v>8</v>
      </c>
      <c r="E489">
        <v>9</v>
      </c>
      <c r="F489" t="s">
        <v>78</v>
      </c>
      <c r="G489">
        <f t="shared" si="163"/>
        <v>3</v>
      </c>
      <c r="H489">
        <f t="shared" si="164"/>
        <v>0</v>
      </c>
      <c r="I489">
        <f t="shared" si="165"/>
        <v>3</v>
      </c>
      <c r="J489">
        <f t="shared" si="166"/>
        <v>0</v>
      </c>
      <c r="K489">
        <f t="shared" si="167"/>
        <v>0</v>
      </c>
      <c r="L489">
        <f t="shared" si="168"/>
        <v>-1</v>
      </c>
    </row>
    <row r="490" spans="1:12" x14ac:dyDescent="0.25">
      <c r="A490">
        <v>25</v>
      </c>
      <c r="B490" s="1">
        <v>45949</v>
      </c>
      <c r="C490" t="s">
        <v>4</v>
      </c>
      <c r="D490">
        <v>9</v>
      </c>
      <c r="E490">
        <v>7</v>
      </c>
      <c r="F490" t="s">
        <v>69</v>
      </c>
      <c r="G490">
        <f t="shared" si="163"/>
        <v>2</v>
      </c>
      <c r="H490">
        <f t="shared" si="164"/>
        <v>0</v>
      </c>
      <c r="I490">
        <f t="shared" si="165"/>
        <v>2</v>
      </c>
      <c r="J490">
        <f t="shared" si="166"/>
        <v>0</v>
      </c>
      <c r="K490">
        <f t="shared" si="167"/>
        <v>0</v>
      </c>
      <c r="L490">
        <f>D490-E490</f>
        <v>2</v>
      </c>
    </row>
    <row r="491" spans="1:12" x14ac:dyDescent="0.25">
      <c r="A491">
        <v>25</v>
      </c>
      <c r="B491" s="1">
        <v>45949</v>
      </c>
      <c r="C491" t="s">
        <v>4</v>
      </c>
      <c r="D491">
        <v>10</v>
      </c>
      <c r="E491">
        <v>11</v>
      </c>
      <c r="F491" t="s">
        <v>79</v>
      </c>
      <c r="G491">
        <f t="shared" si="163"/>
        <v>1</v>
      </c>
      <c r="H491">
        <f t="shared" si="164"/>
        <v>0</v>
      </c>
      <c r="I491">
        <f t="shared" si="165"/>
        <v>1</v>
      </c>
      <c r="J491">
        <f t="shared" si="166"/>
        <v>0</v>
      </c>
      <c r="K491">
        <f t="shared" si="167"/>
        <v>0</v>
      </c>
      <c r="L491">
        <f t="shared" ref="L491:L505" si="169">D491-E491</f>
        <v>-1</v>
      </c>
    </row>
    <row r="492" spans="1:12" x14ac:dyDescent="0.25">
      <c r="A492">
        <v>25</v>
      </c>
      <c r="B492" s="1">
        <v>45949</v>
      </c>
      <c r="C492" t="s">
        <v>15</v>
      </c>
      <c r="D492">
        <v>1</v>
      </c>
      <c r="E492">
        <v>1</v>
      </c>
      <c r="F492" t="s">
        <v>67</v>
      </c>
      <c r="G492">
        <f t="shared" si="163"/>
        <v>10</v>
      </c>
      <c r="H492">
        <f t="shared" si="164"/>
        <v>9</v>
      </c>
      <c r="I492">
        <f t="shared" si="165"/>
        <v>19</v>
      </c>
      <c r="J492">
        <f t="shared" si="166"/>
        <v>1</v>
      </c>
      <c r="K492">
        <f t="shared" si="167"/>
        <v>1</v>
      </c>
      <c r="L492">
        <f t="shared" si="169"/>
        <v>0</v>
      </c>
    </row>
    <row r="493" spans="1:12" x14ac:dyDescent="0.25">
      <c r="A493">
        <v>25</v>
      </c>
      <c r="B493" s="1">
        <v>45949</v>
      </c>
      <c r="C493" t="s">
        <v>15</v>
      </c>
      <c r="D493">
        <v>2</v>
      </c>
      <c r="E493">
        <v>3</v>
      </c>
      <c r="F493" t="s">
        <v>70</v>
      </c>
      <c r="G493">
        <f t="shared" si="163"/>
        <v>9</v>
      </c>
      <c r="H493">
        <f t="shared" si="164"/>
        <v>7</v>
      </c>
      <c r="I493">
        <f t="shared" si="165"/>
        <v>16</v>
      </c>
      <c r="J493">
        <f t="shared" si="166"/>
        <v>0</v>
      </c>
      <c r="K493">
        <f t="shared" si="167"/>
        <v>1</v>
      </c>
      <c r="L493">
        <f t="shared" si="169"/>
        <v>-1</v>
      </c>
    </row>
    <row r="494" spans="1:12" x14ac:dyDescent="0.25">
      <c r="A494">
        <v>25</v>
      </c>
      <c r="B494" s="1">
        <v>45949</v>
      </c>
      <c r="C494" t="s">
        <v>15</v>
      </c>
      <c r="D494">
        <v>3</v>
      </c>
      <c r="E494">
        <v>4</v>
      </c>
      <c r="F494" t="s">
        <v>74</v>
      </c>
      <c r="G494">
        <f t="shared" ref="G494:G513" si="170">11-D494</f>
        <v>8</v>
      </c>
      <c r="H494">
        <f t="shared" ref="H494:H513" si="171">IF(D494&lt;6,11-2*D494,0)</f>
        <v>5</v>
      </c>
      <c r="I494">
        <f t="shared" ref="I494:I513" si="172">G494+H494</f>
        <v>13</v>
      </c>
      <c r="J494">
        <f t="shared" si="166"/>
        <v>0</v>
      </c>
      <c r="K494">
        <f t="shared" si="167"/>
        <v>1</v>
      </c>
      <c r="L494">
        <f t="shared" si="169"/>
        <v>-1</v>
      </c>
    </row>
    <row r="495" spans="1:12" x14ac:dyDescent="0.25">
      <c r="A495">
        <v>25</v>
      </c>
      <c r="B495" s="1">
        <v>45949</v>
      </c>
      <c r="C495" t="s">
        <v>15</v>
      </c>
      <c r="D495">
        <v>4</v>
      </c>
      <c r="E495">
        <v>6</v>
      </c>
      <c r="F495" t="s">
        <v>76</v>
      </c>
      <c r="G495">
        <f t="shared" si="170"/>
        <v>7</v>
      </c>
      <c r="H495">
        <f t="shared" si="171"/>
        <v>3</v>
      </c>
      <c r="I495">
        <f t="shared" si="172"/>
        <v>10</v>
      </c>
      <c r="J495">
        <f t="shared" si="166"/>
        <v>0</v>
      </c>
      <c r="K495">
        <f t="shared" si="167"/>
        <v>0</v>
      </c>
      <c r="L495">
        <f t="shared" si="169"/>
        <v>-2</v>
      </c>
    </row>
    <row r="496" spans="1:12" x14ac:dyDescent="0.25">
      <c r="A496">
        <v>25</v>
      </c>
      <c r="B496" s="1">
        <v>45949</v>
      </c>
      <c r="C496" t="s">
        <v>15</v>
      </c>
      <c r="D496">
        <v>5</v>
      </c>
      <c r="E496">
        <v>2</v>
      </c>
      <c r="F496" t="s">
        <v>65</v>
      </c>
      <c r="G496">
        <f t="shared" si="170"/>
        <v>6</v>
      </c>
      <c r="H496">
        <f t="shared" si="171"/>
        <v>1</v>
      </c>
      <c r="I496">
        <f t="shared" si="172"/>
        <v>7</v>
      </c>
      <c r="J496">
        <f t="shared" si="166"/>
        <v>0</v>
      </c>
      <c r="K496">
        <f t="shared" si="167"/>
        <v>0</v>
      </c>
      <c r="L496">
        <f t="shared" si="169"/>
        <v>3</v>
      </c>
    </row>
    <row r="497" spans="1:12" x14ac:dyDescent="0.25">
      <c r="A497">
        <v>25</v>
      </c>
      <c r="B497" s="1">
        <v>45949</v>
      </c>
      <c r="C497" t="s">
        <v>15</v>
      </c>
      <c r="D497">
        <v>6</v>
      </c>
      <c r="E497">
        <v>5</v>
      </c>
      <c r="F497" t="s">
        <v>73</v>
      </c>
      <c r="G497">
        <f t="shared" si="170"/>
        <v>5</v>
      </c>
      <c r="H497">
        <f t="shared" si="171"/>
        <v>0</v>
      </c>
      <c r="I497">
        <f t="shared" si="172"/>
        <v>5</v>
      </c>
      <c r="J497">
        <f t="shared" si="166"/>
        <v>0</v>
      </c>
      <c r="K497">
        <f t="shared" si="167"/>
        <v>0</v>
      </c>
      <c r="L497">
        <f t="shared" si="169"/>
        <v>1</v>
      </c>
    </row>
    <row r="498" spans="1:12" x14ac:dyDescent="0.25">
      <c r="A498">
        <v>25</v>
      </c>
      <c r="B498" s="1">
        <v>45949</v>
      </c>
      <c r="C498" t="s">
        <v>15</v>
      </c>
      <c r="D498">
        <v>7</v>
      </c>
      <c r="E498">
        <v>8</v>
      </c>
      <c r="F498" t="s">
        <v>77</v>
      </c>
      <c r="G498">
        <f t="shared" si="170"/>
        <v>4</v>
      </c>
      <c r="H498">
        <f t="shared" si="171"/>
        <v>0</v>
      </c>
      <c r="I498">
        <f t="shared" si="172"/>
        <v>4</v>
      </c>
      <c r="J498">
        <f t="shared" si="166"/>
        <v>0</v>
      </c>
      <c r="K498">
        <f t="shared" si="167"/>
        <v>0</v>
      </c>
      <c r="L498">
        <f t="shared" si="169"/>
        <v>-1</v>
      </c>
    </row>
    <row r="499" spans="1:12" x14ac:dyDescent="0.25">
      <c r="A499">
        <v>25</v>
      </c>
      <c r="B499" s="1">
        <v>45949</v>
      </c>
      <c r="C499" t="s">
        <v>15</v>
      </c>
      <c r="D499">
        <v>8</v>
      </c>
      <c r="E499">
        <v>11</v>
      </c>
      <c r="F499" t="s">
        <v>80</v>
      </c>
      <c r="G499">
        <f t="shared" si="170"/>
        <v>3</v>
      </c>
      <c r="H499">
        <f t="shared" si="171"/>
        <v>0</v>
      </c>
      <c r="I499">
        <f t="shared" si="172"/>
        <v>3</v>
      </c>
      <c r="J499">
        <f t="shared" si="166"/>
        <v>0</v>
      </c>
      <c r="K499">
        <f t="shared" si="167"/>
        <v>0</v>
      </c>
      <c r="L499">
        <f t="shared" si="169"/>
        <v>-3</v>
      </c>
    </row>
    <row r="500" spans="1:12" x14ac:dyDescent="0.25">
      <c r="A500">
        <v>25</v>
      </c>
      <c r="B500" s="1">
        <v>45949</v>
      </c>
      <c r="C500" t="s">
        <v>15</v>
      </c>
      <c r="D500">
        <v>9</v>
      </c>
      <c r="E500">
        <v>11</v>
      </c>
      <c r="F500" t="s">
        <v>81</v>
      </c>
      <c r="G500">
        <f t="shared" si="170"/>
        <v>2</v>
      </c>
      <c r="H500">
        <f t="shared" si="171"/>
        <v>0</v>
      </c>
      <c r="I500">
        <f t="shared" si="172"/>
        <v>2</v>
      </c>
      <c r="J500">
        <f t="shared" si="166"/>
        <v>0</v>
      </c>
      <c r="K500">
        <f t="shared" si="167"/>
        <v>0</v>
      </c>
      <c r="L500">
        <f t="shared" si="169"/>
        <v>-2</v>
      </c>
    </row>
    <row r="501" spans="1:12" x14ac:dyDescent="0.25">
      <c r="A501">
        <v>25</v>
      </c>
      <c r="B501" s="1">
        <v>45949</v>
      </c>
      <c r="C501" t="s">
        <v>15</v>
      </c>
      <c r="D501">
        <v>10</v>
      </c>
      <c r="E501">
        <v>9</v>
      </c>
      <c r="F501" t="s">
        <v>64</v>
      </c>
      <c r="G501">
        <f t="shared" si="170"/>
        <v>1</v>
      </c>
      <c r="H501">
        <f t="shared" si="171"/>
        <v>0</v>
      </c>
      <c r="I501">
        <f t="shared" si="172"/>
        <v>1</v>
      </c>
      <c r="J501">
        <f t="shared" si="166"/>
        <v>0</v>
      </c>
      <c r="K501">
        <f t="shared" si="167"/>
        <v>0</v>
      </c>
      <c r="L501">
        <f t="shared" si="169"/>
        <v>1</v>
      </c>
    </row>
    <row r="502" spans="1:12" x14ac:dyDescent="0.25">
      <c r="A502">
        <v>26</v>
      </c>
      <c r="B502" s="1">
        <v>45956</v>
      </c>
      <c r="C502" t="s">
        <v>4</v>
      </c>
      <c r="D502">
        <v>1</v>
      </c>
      <c r="E502">
        <v>2</v>
      </c>
      <c r="F502" t="s">
        <v>66</v>
      </c>
      <c r="G502">
        <f t="shared" si="170"/>
        <v>10</v>
      </c>
      <c r="H502">
        <f t="shared" si="171"/>
        <v>9</v>
      </c>
      <c r="I502">
        <f t="shared" si="172"/>
        <v>19</v>
      </c>
      <c r="J502">
        <f t="shared" ref="J502:J521" si="173">COUNTIF(D502,"=1")</f>
        <v>1</v>
      </c>
      <c r="K502">
        <f t="shared" ref="K502:K521" si="174">COUNTIF(D502,"&lt;4")</f>
        <v>1</v>
      </c>
      <c r="L502">
        <f t="shared" si="169"/>
        <v>-1</v>
      </c>
    </row>
    <row r="503" spans="1:12" x14ac:dyDescent="0.25">
      <c r="A503">
        <v>26</v>
      </c>
      <c r="B503" s="1">
        <v>45956</v>
      </c>
      <c r="C503" t="s">
        <v>4</v>
      </c>
      <c r="D503">
        <v>2</v>
      </c>
      <c r="E503">
        <v>1</v>
      </c>
      <c r="F503" t="s">
        <v>63</v>
      </c>
      <c r="G503">
        <f t="shared" si="170"/>
        <v>9</v>
      </c>
      <c r="H503">
        <f t="shared" si="171"/>
        <v>7</v>
      </c>
      <c r="I503">
        <f t="shared" si="172"/>
        <v>16</v>
      </c>
      <c r="J503">
        <f t="shared" si="173"/>
        <v>0</v>
      </c>
      <c r="K503">
        <f t="shared" si="174"/>
        <v>1</v>
      </c>
      <c r="L503">
        <f t="shared" si="169"/>
        <v>1</v>
      </c>
    </row>
    <row r="504" spans="1:12" x14ac:dyDescent="0.25">
      <c r="A504">
        <v>26</v>
      </c>
      <c r="B504" s="1">
        <v>45956</v>
      </c>
      <c r="C504" t="s">
        <v>4</v>
      </c>
      <c r="D504">
        <v>3</v>
      </c>
      <c r="E504">
        <v>3</v>
      </c>
      <c r="F504" t="s">
        <v>72</v>
      </c>
      <c r="G504">
        <f t="shared" si="170"/>
        <v>8</v>
      </c>
      <c r="H504">
        <f t="shared" si="171"/>
        <v>5</v>
      </c>
      <c r="I504">
        <f t="shared" si="172"/>
        <v>13</v>
      </c>
      <c r="J504">
        <f t="shared" si="173"/>
        <v>0</v>
      </c>
      <c r="K504">
        <f t="shared" si="174"/>
        <v>1</v>
      </c>
      <c r="L504">
        <f t="shared" si="169"/>
        <v>0</v>
      </c>
    </row>
    <row r="505" spans="1:12" x14ac:dyDescent="0.25">
      <c r="A505">
        <v>26</v>
      </c>
      <c r="B505" s="1">
        <v>45956</v>
      </c>
      <c r="C505" t="s">
        <v>4</v>
      </c>
      <c r="D505">
        <v>4</v>
      </c>
      <c r="E505">
        <v>4</v>
      </c>
      <c r="F505" t="s">
        <v>58</v>
      </c>
      <c r="G505">
        <f t="shared" si="170"/>
        <v>7</v>
      </c>
      <c r="H505">
        <f t="shared" si="171"/>
        <v>3</v>
      </c>
      <c r="I505">
        <f t="shared" si="172"/>
        <v>10</v>
      </c>
      <c r="J505">
        <f t="shared" si="173"/>
        <v>0</v>
      </c>
      <c r="K505">
        <f t="shared" si="174"/>
        <v>0</v>
      </c>
      <c r="L505">
        <f t="shared" si="169"/>
        <v>0</v>
      </c>
    </row>
    <row r="506" spans="1:12" x14ac:dyDescent="0.25">
      <c r="A506">
        <v>26</v>
      </c>
      <c r="B506" s="1">
        <v>45956</v>
      </c>
      <c r="C506" t="s">
        <v>4</v>
      </c>
      <c r="D506">
        <v>5</v>
      </c>
      <c r="E506">
        <v>5</v>
      </c>
      <c r="F506" t="s">
        <v>59</v>
      </c>
      <c r="G506">
        <f t="shared" si="170"/>
        <v>6</v>
      </c>
      <c r="H506">
        <f t="shared" si="171"/>
        <v>1</v>
      </c>
      <c r="I506">
        <f t="shared" si="172"/>
        <v>7</v>
      </c>
      <c r="J506">
        <f t="shared" si="173"/>
        <v>0</v>
      </c>
      <c r="K506">
        <f t="shared" si="174"/>
        <v>0</v>
      </c>
      <c r="L506">
        <f>D506-E506</f>
        <v>0</v>
      </c>
    </row>
    <row r="507" spans="1:12" x14ac:dyDescent="0.25">
      <c r="A507">
        <v>26</v>
      </c>
      <c r="B507" s="1">
        <v>45956</v>
      </c>
      <c r="C507" t="s">
        <v>4</v>
      </c>
      <c r="D507">
        <v>6</v>
      </c>
      <c r="E507">
        <v>7</v>
      </c>
      <c r="F507" t="s">
        <v>75</v>
      </c>
      <c r="G507">
        <f t="shared" si="170"/>
        <v>5</v>
      </c>
      <c r="H507">
        <f t="shared" si="171"/>
        <v>0</v>
      </c>
      <c r="I507">
        <f t="shared" si="172"/>
        <v>5</v>
      </c>
      <c r="J507">
        <f t="shared" si="173"/>
        <v>0</v>
      </c>
      <c r="K507">
        <f t="shared" si="174"/>
        <v>0</v>
      </c>
      <c r="L507">
        <f t="shared" ref="L507:L509" si="175">D507-E507</f>
        <v>-1</v>
      </c>
    </row>
    <row r="508" spans="1:12" x14ac:dyDescent="0.25">
      <c r="A508">
        <v>26</v>
      </c>
      <c r="B508" s="1">
        <v>45956</v>
      </c>
      <c r="C508" t="s">
        <v>4</v>
      </c>
      <c r="D508">
        <v>7</v>
      </c>
      <c r="E508">
        <v>8</v>
      </c>
      <c r="F508" t="s">
        <v>78</v>
      </c>
      <c r="G508">
        <f t="shared" si="170"/>
        <v>4</v>
      </c>
      <c r="H508">
        <f t="shared" si="171"/>
        <v>0</v>
      </c>
      <c r="I508">
        <f t="shared" si="172"/>
        <v>4</v>
      </c>
      <c r="J508">
        <f t="shared" si="173"/>
        <v>0</v>
      </c>
      <c r="K508">
        <f t="shared" si="174"/>
        <v>0</v>
      </c>
      <c r="L508">
        <f t="shared" si="175"/>
        <v>-1</v>
      </c>
    </row>
    <row r="509" spans="1:12" x14ac:dyDescent="0.25">
      <c r="A509">
        <v>26</v>
      </c>
      <c r="B509" s="1">
        <v>45956</v>
      </c>
      <c r="C509" t="s">
        <v>4</v>
      </c>
      <c r="D509">
        <v>8</v>
      </c>
      <c r="E509">
        <v>6</v>
      </c>
      <c r="F509" t="s">
        <v>61</v>
      </c>
      <c r="G509">
        <f t="shared" si="170"/>
        <v>3</v>
      </c>
      <c r="H509">
        <f t="shared" si="171"/>
        <v>0</v>
      </c>
      <c r="I509">
        <f t="shared" si="172"/>
        <v>3</v>
      </c>
      <c r="J509">
        <f t="shared" si="173"/>
        <v>0</v>
      </c>
      <c r="K509">
        <f t="shared" si="174"/>
        <v>0</v>
      </c>
      <c r="L509">
        <f t="shared" si="175"/>
        <v>2</v>
      </c>
    </row>
    <row r="510" spans="1:12" x14ac:dyDescent="0.25">
      <c r="A510">
        <v>26</v>
      </c>
      <c r="B510" s="1">
        <v>45956</v>
      </c>
      <c r="C510" t="s">
        <v>4</v>
      </c>
      <c r="D510">
        <v>9</v>
      </c>
      <c r="E510">
        <v>10</v>
      </c>
      <c r="F510" t="s">
        <v>79</v>
      </c>
      <c r="G510">
        <f t="shared" si="170"/>
        <v>2</v>
      </c>
      <c r="H510">
        <f t="shared" si="171"/>
        <v>0</v>
      </c>
      <c r="I510">
        <f t="shared" si="172"/>
        <v>2</v>
      </c>
      <c r="J510">
        <f t="shared" si="173"/>
        <v>0</v>
      </c>
      <c r="K510">
        <f t="shared" si="174"/>
        <v>0</v>
      </c>
      <c r="L510">
        <f>D510-E510</f>
        <v>-1</v>
      </c>
    </row>
    <row r="511" spans="1:12" x14ac:dyDescent="0.25">
      <c r="A511">
        <v>26</v>
      </c>
      <c r="B511" s="1">
        <v>45956</v>
      </c>
      <c r="C511" t="s">
        <v>4</v>
      </c>
      <c r="D511">
        <v>10</v>
      </c>
      <c r="E511">
        <v>9</v>
      </c>
      <c r="F511" t="s">
        <v>69</v>
      </c>
      <c r="G511">
        <f t="shared" si="170"/>
        <v>1</v>
      </c>
      <c r="H511">
        <f t="shared" si="171"/>
        <v>0</v>
      </c>
      <c r="I511">
        <f t="shared" si="172"/>
        <v>1</v>
      </c>
      <c r="J511">
        <f t="shared" si="173"/>
        <v>0</v>
      </c>
      <c r="K511">
        <f t="shared" si="174"/>
        <v>0</v>
      </c>
      <c r="L511">
        <f t="shared" ref="L511:L521" si="176">D511-E511</f>
        <v>1</v>
      </c>
    </row>
    <row r="512" spans="1:12" x14ac:dyDescent="0.25">
      <c r="A512">
        <v>26</v>
      </c>
      <c r="B512" s="1">
        <v>45956</v>
      </c>
      <c r="C512" t="s">
        <v>15</v>
      </c>
      <c r="D512">
        <v>1</v>
      </c>
      <c r="E512">
        <v>1</v>
      </c>
      <c r="F512" t="s">
        <v>67</v>
      </c>
      <c r="G512">
        <f t="shared" si="170"/>
        <v>10</v>
      </c>
      <c r="H512">
        <f t="shared" si="171"/>
        <v>9</v>
      </c>
      <c r="I512">
        <f t="shared" si="172"/>
        <v>19</v>
      </c>
      <c r="J512">
        <f t="shared" si="173"/>
        <v>1</v>
      </c>
      <c r="K512">
        <f t="shared" si="174"/>
        <v>1</v>
      </c>
      <c r="L512">
        <f t="shared" si="176"/>
        <v>0</v>
      </c>
    </row>
    <row r="513" spans="1:12" x14ac:dyDescent="0.25">
      <c r="A513">
        <v>26</v>
      </c>
      <c r="B513" s="1">
        <v>45956</v>
      </c>
      <c r="C513" t="s">
        <v>15</v>
      </c>
      <c r="D513">
        <v>2</v>
      </c>
      <c r="E513">
        <v>2</v>
      </c>
      <c r="F513" t="s">
        <v>70</v>
      </c>
      <c r="G513">
        <f t="shared" si="170"/>
        <v>9</v>
      </c>
      <c r="H513">
        <f t="shared" si="171"/>
        <v>7</v>
      </c>
      <c r="I513">
        <f t="shared" si="172"/>
        <v>16</v>
      </c>
      <c r="J513">
        <f t="shared" si="173"/>
        <v>0</v>
      </c>
      <c r="K513">
        <f t="shared" si="174"/>
        <v>1</v>
      </c>
      <c r="L513">
        <f t="shared" si="176"/>
        <v>0</v>
      </c>
    </row>
    <row r="514" spans="1:12" x14ac:dyDescent="0.25">
      <c r="A514">
        <v>26</v>
      </c>
      <c r="B514" s="1">
        <v>45956</v>
      </c>
      <c r="C514" t="s">
        <v>15</v>
      </c>
      <c r="D514">
        <v>3</v>
      </c>
      <c r="E514">
        <v>3</v>
      </c>
      <c r="F514" t="s">
        <v>74</v>
      </c>
      <c r="G514">
        <f t="shared" ref="G514:G521" si="177">11-D514</f>
        <v>8</v>
      </c>
      <c r="H514">
        <f t="shared" ref="H514:H521" si="178">IF(D514&lt;6,11-2*D514,0)</f>
        <v>5</v>
      </c>
      <c r="I514">
        <f t="shared" ref="I514:I521" si="179">G514+H514</f>
        <v>13</v>
      </c>
      <c r="J514">
        <f t="shared" si="173"/>
        <v>0</v>
      </c>
      <c r="K514">
        <f t="shared" si="174"/>
        <v>1</v>
      </c>
      <c r="L514">
        <f t="shared" si="176"/>
        <v>0</v>
      </c>
    </row>
    <row r="515" spans="1:12" x14ac:dyDescent="0.25">
      <c r="A515">
        <v>26</v>
      </c>
      <c r="B515" s="1">
        <v>45956</v>
      </c>
      <c r="C515" t="s">
        <v>15</v>
      </c>
      <c r="D515">
        <v>4</v>
      </c>
      <c r="E515">
        <v>4</v>
      </c>
      <c r="F515" t="s">
        <v>76</v>
      </c>
      <c r="G515">
        <f t="shared" si="177"/>
        <v>7</v>
      </c>
      <c r="H515">
        <f t="shared" si="178"/>
        <v>3</v>
      </c>
      <c r="I515">
        <f t="shared" si="179"/>
        <v>10</v>
      </c>
      <c r="J515">
        <f t="shared" si="173"/>
        <v>0</v>
      </c>
      <c r="K515">
        <f t="shared" si="174"/>
        <v>0</v>
      </c>
      <c r="L515">
        <f t="shared" si="176"/>
        <v>0</v>
      </c>
    </row>
    <row r="516" spans="1:12" x14ac:dyDescent="0.25">
      <c r="A516">
        <v>26</v>
      </c>
      <c r="B516" s="1">
        <v>45956</v>
      </c>
      <c r="C516" t="s">
        <v>15</v>
      </c>
      <c r="D516">
        <v>5</v>
      </c>
      <c r="E516">
        <v>7</v>
      </c>
      <c r="F516" t="s">
        <v>77</v>
      </c>
      <c r="G516">
        <f t="shared" si="177"/>
        <v>6</v>
      </c>
      <c r="H516">
        <f t="shared" si="178"/>
        <v>1</v>
      </c>
      <c r="I516">
        <f t="shared" si="179"/>
        <v>7</v>
      </c>
      <c r="J516">
        <f t="shared" si="173"/>
        <v>0</v>
      </c>
      <c r="K516">
        <f t="shared" si="174"/>
        <v>0</v>
      </c>
      <c r="L516">
        <f t="shared" si="176"/>
        <v>-2</v>
      </c>
    </row>
    <row r="517" spans="1:12" x14ac:dyDescent="0.25">
      <c r="A517">
        <v>26</v>
      </c>
      <c r="B517" s="1">
        <v>45956</v>
      </c>
      <c r="C517" t="s">
        <v>15</v>
      </c>
      <c r="D517">
        <v>6</v>
      </c>
      <c r="E517">
        <v>6</v>
      </c>
      <c r="F517" t="s">
        <v>73</v>
      </c>
      <c r="G517">
        <f t="shared" si="177"/>
        <v>5</v>
      </c>
      <c r="H517">
        <f t="shared" si="178"/>
        <v>0</v>
      </c>
      <c r="I517">
        <f t="shared" si="179"/>
        <v>5</v>
      </c>
      <c r="J517">
        <f t="shared" si="173"/>
        <v>0</v>
      </c>
      <c r="K517">
        <f t="shared" si="174"/>
        <v>0</v>
      </c>
      <c r="L517">
        <f t="shared" si="176"/>
        <v>0</v>
      </c>
    </row>
    <row r="518" spans="1:12" x14ac:dyDescent="0.25">
      <c r="A518">
        <v>26</v>
      </c>
      <c r="B518" s="1">
        <v>45956</v>
      </c>
      <c r="C518" t="s">
        <v>15</v>
      </c>
      <c r="D518">
        <v>7</v>
      </c>
      <c r="E518">
        <v>8</v>
      </c>
      <c r="F518" t="s">
        <v>80</v>
      </c>
      <c r="G518">
        <f t="shared" si="177"/>
        <v>4</v>
      </c>
      <c r="H518">
        <f t="shared" si="178"/>
        <v>0</v>
      </c>
      <c r="I518">
        <f t="shared" si="179"/>
        <v>4</v>
      </c>
      <c r="J518">
        <f t="shared" si="173"/>
        <v>0</v>
      </c>
      <c r="K518">
        <f t="shared" si="174"/>
        <v>0</v>
      </c>
      <c r="L518">
        <f t="shared" si="176"/>
        <v>-1</v>
      </c>
    </row>
    <row r="519" spans="1:12" x14ac:dyDescent="0.25">
      <c r="A519">
        <v>26</v>
      </c>
      <c r="B519" s="1">
        <v>45956</v>
      </c>
      <c r="C519" t="s">
        <v>15</v>
      </c>
      <c r="D519">
        <v>8</v>
      </c>
      <c r="E519">
        <v>9</v>
      </c>
      <c r="F519" t="s">
        <v>81</v>
      </c>
      <c r="G519">
        <f t="shared" si="177"/>
        <v>3</v>
      </c>
      <c r="H519">
        <f t="shared" si="178"/>
        <v>0</v>
      </c>
      <c r="I519">
        <f t="shared" si="179"/>
        <v>3</v>
      </c>
      <c r="J519">
        <f t="shared" si="173"/>
        <v>0</v>
      </c>
      <c r="K519">
        <f t="shared" si="174"/>
        <v>0</v>
      </c>
      <c r="L519">
        <f t="shared" si="176"/>
        <v>-1</v>
      </c>
    </row>
    <row r="520" spans="1:12" x14ac:dyDescent="0.25">
      <c r="A520">
        <v>26</v>
      </c>
      <c r="B520" s="1">
        <v>45956</v>
      </c>
      <c r="C520" t="s">
        <v>15</v>
      </c>
      <c r="D520">
        <v>9</v>
      </c>
      <c r="E520">
        <v>5</v>
      </c>
      <c r="F520" t="s">
        <v>65</v>
      </c>
      <c r="G520">
        <f t="shared" si="177"/>
        <v>2</v>
      </c>
      <c r="H520">
        <f t="shared" si="178"/>
        <v>0</v>
      </c>
      <c r="I520">
        <f t="shared" si="179"/>
        <v>2</v>
      </c>
      <c r="J520">
        <f t="shared" si="173"/>
        <v>0</v>
      </c>
      <c r="K520">
        <f t="shared" si="174"/>
        <v>0</v>
      </c>
      <c r="L520">
        <f t="shared" si="176"/>
        <v>4</v>
      </c>
    </row>
    <row r="521" spans="1:12" x14ac:dyDescent="0.25">
      <c r="A521">
        <v>26</v>
      </c>
      <c r="B521" s="1">
        <v>45956</v>
      </c>
      <c r="C521" t="s">
        <v>15</v>
      </c>
      <c r="D521">
        <v>10</v>
      </c>
      <c r="E521">
        <v>11</v>
      </c>
      <c r="F521" t="s">
        <v>82</v>
      </c>
      <c r="G521">
        <f t="shared" si="177"/>
        <v>1</v>
      </c>
      <c r="H521">
        <f t="shared" si="178"/>
        <v>0</v>
      </c>
      <c r="I521">
        <f t="shared" si="179"/>
        <v>1</v>
      </c>
      <c r="J521">
        <f t="shared" si="173"/>
        <v>0</v>
      </c>
      <c r="K521">
        <f t="shared" si="174"/>
        <v>0</v>
      </c>
      <c r="L521">
        <f t="shared" si="176"/>
        <v>-1</v>
      </c>
    </row>
  </sheetData>
  <autoFilter ref="A1:L521" xr:uid="{DB7EE4B5-34C6-49F4-9812-5205526814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A483-CCC4-4A5F-9888-73A4F25C8294}">
  <dimension ref="A1:D36"/>
  <sheetViews>
    <sheetView workbookViewId="0"/>
  </sheetViews>
  <sheetFormatPr baseColWidth="10" defaultRowHeight="15" x14ac:dyDescent="0.25"/>
  <cols>
    <col min="1" max="1" width="67" bestFit="1" customWidth="1"/>
    <col min="2" max="2" width="15" bestFit="1" customWidth="1"/>
    <col min="3" max="3" width="14.42578125" bestFit="1" customWidth="1"/>
    <col min="4" max="4" width="13.42578125" bestFit="1" customWidth="1"/>
  </cols>
  <sheetData>
    <row r="1" spans="1:4" x14ac:dyDescent="0.25">
      <c r="A1" s="2" t="s">
        <v>3</v>
      </c>
      <c r="B1" t="s">
        <v>15</v>
      </c>
    </row>
    <row r="3" spans="1:4" x14ac:dyDescent="0.25">
      <c r="A3" s="2" t="s">
        <v>0</v>
      </c>
      <c r="B3" t="s">
        <v>8</v>
      </c>
      <c r="C3" t="s">
        <v>25</v>
      </c>
      <c r="D3" t="s">
        <v>24</v>
      </c>
    </row>
    <row r="4" spans="1:4" x14ac:dyDescent="0.25">
      <c r="A4" s="3" t="s">
        <v>56</v>
      </c>
      <c r="B4" s="5">
        <v>108</v>
      </c>
      <c r="C4" s="5">
        <v>63</v>
      </c>
      <c r="D4" s="5">
        <v>171</v>
      </c>
    </row>
    <row r="5" spans="1:4" x14ac:dyDescent="0.25">
      <c r="A5" s="3" t="s">
        <v>47</v>
      </c>
      <c r="B5" s="5">
        <v>104</v>
      </c>
      <c r="C5" s="5">
        <v>66</v>
      </c>
      <c r="D5" s="5">
        <v>170</v>
      </c>
    </row>
    <row r="6" spans="1:4" x14ac:dyDescent="0.25">
      <c r="A6" s="3" t="s">
        <v>39</v>
      </c>
      <c r="B6" s="5">
        <v>91</v>
      </c>
      <c r="C6" s="5">
        <v>70</v>
      </c>
      <c r="D6" s="5">
        <v>161</v>
      </c>
    </row>
    <row r="7" spans="1:4" x14ac:dyDescent="0.25">
      <c r="A7" s="3" t="s">
        <v>55</v>
      </c>
      <c r="B7" s="5">
        <v>89</v>
      </c>
      <c r="C7" s="5">
        <v>55</v>
      </c>
      <c r="D7" s="5">
        <v>144</v>
      </c>
    </row>
    <row r="8" spans="1:4" x14ac:dyDescent="0.25">
      <c r="A8" s="3" t="s">
        <v>65</v>
      </c>
      <c r="B8" s="5">
        <v>86</v>
      </c>
      <c r="C8" s="5">
        <v>55</v>
      </c>
      <c r="D8" s="5">
        <v>141</v>
      </c>
    </row>
    <row r="9" spans="1:4" x14ac:dyDescent="0.25">
      <c r="A9" s="3" t="s">
        <v>43</v>
      </c>
      <c r="B9" s="5">
        <v>91</v>
      </c>
      <c r="C9" s="5">
        <v>50</v>
      </c>
      <c r="D9" s="5">
        <v>141</v>
      </c>
    </row>
    <row r="10" spans="1:4" x14ac:dyDescent="0.25">
      <c r="A10" s="3" t="s">
        <v>67</v>
      </c>
      <c r="B10" s="5">
        <v>84</v>
      </c>
      <c r="C10" s="5">
        <v>55</v>
      </c>
      <c r="D10" s="5">
        <v>139</v>
      </c>
    </row>
    <row r="11" spans="1:4" x14ac:dyDescent="0.25">
      <c r="A11" s="3" t="s">
        <v>53</v>
      </c>
      <c r="B11" s="5">
        <v>80</v>
      </c>
      <c r="C11" s="5">
        <v>32</v>
      </c>
      <c r="D11" s="5">
        <v>112</v>
      </c>
    </row>
    <row r="12" spans="1:4" x14ac:dyDescent="0.25">
      <c r="A12" s="3" t="s">
        <v>41</v>
      </c>
      <c r="B12" s="5">
        <v>68</v>
      </c>
      <c r="C12" s="5">
        <v>40</v>
      </c>
      <c r="D12" s="5">
        <v>108</v>
      </c>
    </row>
    <row r="13" spans="1:4" x14ac:dyDescent="0.25">
      <c r="A13" s="3" t="s">
        <v>19</v>
      </c>
      <c r="B13" s="5">
        <v>60</v>
      </c>
      <c r="C13" s="5">
        <v>39</v>
      </c>
      <c r="D13" s="5">
        <v>99</v>
      </c>
    </row>
    <row r="14" spans="1:4" x14ac:dyDescent="0.25">
      <c r="A14" s="3" t="s">
        <v>70</v>
      </c>
      <c r="B14" s="5">
        <v>60</v>
      </c>
      <c r="C14" s="5">
        <v>31</v>
      </c>
      <c r="D14" s="5">
        <v>91</v>
      </c>
    </row>
    <row r="15" spans="1:4" x14ac:dyDescent="0.25">
      <c r="A15" s="3" t="s">
        <v>64</v>
      </c>
      <c r="B15" s="5">
        <v>62</v>
      </c>
      <c r="C15" s="5">
        <v>22</v>
      </c>
      <c r="D15" s="5">
        <v>84</v>
      </c>
    </row>
    <row r="16" spans="1:4" x14ac:dyDescent="0.25">
      <c r="A16" s="3" t="s">
        <v>50</v>
      </c>
      <c r="B16" s="5">
        <v>57</v>
      </c>
      <c r="C16" s="5">
        <v>16</v>
      </c>
      <c r="D16" s="5">
        <v>73</v>
      </c>
    </row>
    <row r="17" spans="1:4" x14ac:dyDescent="0.25">
      <c r="A17" s="3" t="s">
        <v>49</v>
      </c>
      <c r="B17" s="5">
        <v>45</v>
      </c>
      <c r="C17" s="5">
        <v>8</v>
      </c>
      <c r="D17" s="5">
        <v>53</v>
      </c>
    </row>
    <row r="18" spans="1:4" x14ac:dyDescent="0.25">
      <c r="A18" s="3" t="s">
        <v>38</v>
      </c>
      <c r="B18" s="5">
        <v>41</v>
      </c>
      <c r="C18" s="5">
        <v>10</v>
      </c>
      <c r="D18" s="5">
        <v>51</v>
      </c>
    </row>
    <row r="19" spans="1:4" x14ac:dyDescent="0.25">
      <c r="A19" s="3" t="s">
        <v>74</v>
      </c>
      <c r="B19" s="5">
        <v>37</v>
      </c>
      <c r="C19" s="5">
        <v>14</v>
      </c>
      <c r="D19" s="5">
        <v>51</v>
      </c>
    </row>
    <row r="20" spans="1:4" x14ac:dyDescent="0.25">
      <c r="A20" s="3" t="s">
        <v>62</v>
      </c>
      <c r="B20" s="5">
        <v>37</v>
      </c>
      <c r="C20" s="5">
        <v>2</v>
      </c>
      <c r="D20" s="5">
        <v>39</v>
      </c>
    </row>
    <row r="21" spans="1:4" x14ac:dyDescent="0.25">
      <c r="A21" s="3" t="s">
        <v>16</v>
      </c>
      <c r="B21" s="5">
        <v>26</v>
      </c>
      <c r="C21" s="5">
        <v>12</v>
      </c>
      <c r="D21" s="5">
        <v>38</v>
      </c>
    </row>
    <row r="22" spans="1:4" x14ac:dyDescent="0.25">
      <c r="A22" s="3" t="s">
        <v>31</v>
      </c>
      <c r="B22" s="5">
        <v>33</v>
      </c>
      <c r="C22" s="5">
        <v>2</v>
      </c>
      <c r="D22" s="5">
        <v>35</v>
      </c>
    </row>
    <row r="23" spans="1:4" x14ac:dyDescent="0.25">
      <c r="A23" s="3" t="s">
        <v>73</v>
      </c>
      <c r="B23" s="5">
        <v>30</v>
      </c>
      <c r="C23" s="5">
        <v>1</v>
      </c>
      <c r="D23" s="5">
        <v>31</v>
      </c>
    </row>
    <row r="24" spans="1:4" x14ac:dyDescent="0.25">
      <c r="A24" s="3" t="s">
        <v>76</v>
      </c>
      <c r="B24" s="5">
        <v>24</v>
      </c>
      <c r="C24" s="5">
        <v>6</v>
      </c>
      <c r="D24" s="5">
        <v>30</v>
      </c>
    </row>
    <row r="25" spans="1:4" x14ac:dyDescent="0.25">
      <c r="A25" s="3" t="s">
        <v>68</v>
      </c>
      <c r="B25" s="5">
        <v>25</v>
      </c>
      <c r="C25" s="5">
        <v>0</v>
      </c>
      <c r="D25" s="5">
        <v>25</v>
      </c>
    </row>
    <row r="26" spans="1:4" x14ac:dyDescent="0.25">
      <c r="A26" s="3" t="s">
        <v>60</v>
      </c>
      <c r="B26" s="5">
        <v>16</v>
      </c>
      <c r="C26" s="5">
        <v>0</v>
      </c>
      <c r="D26" s="5">
        <v>16</v>
      </c>
    </row>
    <row r="27" spans="1:4" x14ac:dyDescent="0.25">
      <c r="A27" s="3" t="s">
        <v>77</v>
      </c>
      <c r="B27" s="5">
        <v>14</v>
      </c>
      <c r="C27" s="5">
        <v>1</v>
      </c>
      <c r="D27" s="5">
        <v>15</v>
      </c>
    </row>
    <row r="28" spans="1:4" x14ac:dyDescent="0.25">
      <c r="A28" s="3" t="s">
        <v>71</v>
      </c>
      <c r="B28" s="5">
        <v>15</v>
      </c>
      <c r="C28" s="5">
        <v>0</v>
      </c>
      <c r="D28" s="5">
        <v>15</v>
      </c>
    </row>
    <row r="29" spans="1:4" x14ac:dyDescent="0.25">
      <c r="A29" s="3" t="s">
        <v>18</v>
      </c>
      <c r="B29" s="5">
        <v>12</v>
      </c>
      <c r="C29" s="5">
        <v>0</v>
      </c>
      <c r="D29" s="5">
        <v>12</v>
      </c>
    </row>
    <row r="30" spans="1:4" x14ac:dyDescent="0.25">
      <c r="A30" s="3" t="s">
        <v>57</v>
      </c>
      <c r="B30" s="5">
        <v>11</v>
      </c>
      <c r="C30" s="5">
        <v>0</v>
      </c>
      <c r="D30" s="5">
        <v>11</v>
      </c>
    </row>
    <row r="31" spans="1:4" x14ac:dyDescent="0.25">
      <c r="A31" s="3" t="s">
        <v>80</v>
      </c>
      <c r="B31" s="5">
        <v>7</v>
      </c>
      <c r="C31" s="5">
        <v>0</v>
      </c>
      <c r="D31" s="5">
        <v>7</v>
      </c>
    </row>
    <row r="32" spans="1:4" x14ac:dyDescent="0.25">
      <c r="A32" s="3" t="s">
        <v>42</v>
      </c>
      <c r="B32" s="5">
        <v>6</v>
      </c>
      <c r="C32" s="5">
        <v>0</v>
      </c>
      <c r="D32" s="5">
        <v>6</v>
      </c>
    </row>
    <row r="33" spans="1:4" x14ac:dyDescent="0.25">
      <c r="A33" s="3" t="s">
        <v>81</v>
      </c>
      <c r="B33" s="5">
        <v>5</v>
      </c>
      <c r="C33" s="5">
        <v>0</v>
      </c>
      <c r="D33" s="5">
        <v>5</v>
      </c>
    </row>
    <row r="34" spans="1:4" x14ac:dyDescent="0.25">
      <c r="A34" s="3" t="s">
        <v>17</v>
      </c>
      <c r="B34" s="5">
        <v>5</v>
      </c>
      <c r="C34" s="5">
        <v>0</v>
      </c>
      <c r="D34" s="5">
        <v>5</v>
      </c>
    </row>
    <row r="35" spans="1:4" x14ac:dyDescent="0.25">
      <c r="A35" s="3" t="s">
        <v>82</v>
      </c>
      <c r="B35" s="5">
        <v>1</v>
      </c>
      <c r="C35" s="5">
        <v>0</v>
      </c>
      <c r="D35" s="5">
        <v>1</v>
      </c>
    </row>
    <row r="36" spans="1:4" x14ac:dyDescent="0.25">
      <c r="A36" s="3" t="s">
        <v>1</v>
      </c>
      <c r="B36" s="5">
        <v>1430</v>
      </c>
      <c r="C36" s="5">
        <v>650</v>
      </c>
      <c r="D36" s="5">
        <v>2080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A293-A99F-4AF4-BC22-71B7C1BC481D}">
  <dimension ref="A1:H36"/>
  <sheetViews>
    <sheetView workbookViewId="0"/>
  </sheetViews>
  <sheetFormatPr baseColWidth="10" defaultRowHeight="15" x14ac:dyDescent="0.25"/>
  <cols>
    <col min="1" max="1" width="67" bestFit="1" customWidth="1"/>
    <col min="2" max="2" width="15" bestFit="1" customWidth="1"/>
    <col min="3" max="3" width="18" bestFit="1" customWidth="1"/>
    <col min="4" max="4" width="15.7109375" bestFit="1" customWidth="1"/>
    <col min="5" max="5" width="11" bestFit="1" customWidth="1"/>
    <col min="6" max="6" width="13.28515625" bestFit="1" customWidth="1"/>
    <col min="7" max="7" width="13" bestFit="1" customWidth="1"/>
    <col min="8" max="8" width="13.28515625" bestFit="1" customWidth="1"/>
    <col min="9" max="9" width="16.85546875" bestFit="1" customWidth="1"/>
  </cols>
  <sheetData>
    <row r="1" spans="1:8" x14ac:dyDescent="0.25">
      <c r="A1" s="2" t="s">
        <v>3</v>
      </c>
      <c r="B1" t="s">
        <v>15</v>
      </c>
    </row>
    <row r="3" spans="1:8" x14ac:dyDescent="0.25">
      <c r="A3" s="2" t="s">
        <v>0</v>
      </c>
      <c r="B3" t="s">
        <v>24</v>
      </c>
      <c r="C3" t="s">
        <v>26</v>
      </c>
      <c r="D3" t="s">
        <v>34</v>
      </c>
      <c r="E3" t="s">
        <v>29</v>
      </c>
      <c r="F3" t="s">
        <v>30</v>
      </c>
      <c r="G3" t="s">
        <v>35</v>
      </c>
      <c r="H3" t="s">
        <v>36</v>
      </c>
    </row>
    <row r="4" spans="1:8" x14ac:dyDescent="0.25">
      <c r="A4" s="3" t="s">
        <v>56</v>
      </c>
      <c r="B4" s="5">
        <v>171</v>
      </c>
      <c r="C4" s="5">
        <v>17</v>
      </c>
      <c r="D4" s="5">
        <v>1</v>
      </c>
      <c r="E4" s="5">
        <v>5</v>
      </c>
      <c r="F4" s="5">
        <v>7</v>
      </c>
      <c r="G4" s="5">
        <v>-2</v>
      </c>
      <c r="H4" s="5">
        <v>3</v>
      </c>
    </row>
    <row r="5" spans="1:8" x14ac:dyDescent="0.25">
      <c r="A5" s="3" t="s">
        <v>47</v>
      </c>
      <c r="B5" s="5">
        <v>170</v>
      </c>
      <c r="C5" s="5">
        <v>15</v>
      </c>
      <c r="D5" s="5">
        <v>1</v>
      </c>
      <c r="E5" s="5">
        <v>3</v>
      </c>
      <c r="F5" s="5">
        <v>8</v>
      </c>
      <c r="G5" s="5">
        <v>-2</v>
      </c>
      <c r="H5" s="5">
        <v>4</v>
      </c>
    </row>
    <row r="6" spans="1:8" x14ac:dyDescent="0.25">
      <c r="A6" s="3" t="s">
        <v>39</v>
      </c>
      <c r="B6" s="5">
        <v>161</v>
      </c>
      <c r="C6" s="5">
        <v>11</v>
      </c>
      <c r="D6" s="5">
        <v>1</v>
      </c>
      <c r="E6" s="5">
        <v>5</v>
      </c>
      <c r="F6" s="5">
        <v>9</v>
      </c>
      <c r="G6" s="5">
        <v>-1</v>
      </c>
      <c r="H6" s="5">
        <v>5</v>
      </c>
    </row>
    <row r="7" spans="1:8" x14ac:dyDescent="0.25">
      <c r="A7" s="3" t="s">
        <v>55</v>
      </c>
      <c r="B7" s="5">
        <v>144</v>
      </c>
      <c r="C7" s="5">
        <v>12</v>
      </c>
      <c r="D7" s="5">
        <v>1</v>
      </c>
      <c r="E7" s="5">
        <v>3</v>
      </c>
      <c r="F7" s="5">
        <v>7</v>
      </c>
      <c r="G7" s="5">
        <v>-5</v>
      </c>
      <c r="H7" s="5">
        <v>4</v>
      </c>
    </row>
    <row r="8" spans="1:8" x14ac:dyDescent="0.25">
      <c r="A8" s="3" t="s">
        <v>65</v>
      </c>
      <c r="B8" s="5">
        <v>141</v>
      </c>
      <c r="C8" s="5">
        <v>13</v>
      </c>
      <c r="D8" s="5">
        <v>1</v>
      </c>
      <c r="E8" s="5">
        <v>2</v>
      </c>
      <c r="F8" s="5">
        <v>7</v>
      </c>
      <c r="G8" s="5">
        <v>-3</v>
      </c>
      <c r="H8" s="5">
        <v>4</v>
      </c>
    </row>
    <row r="9" spans="1:8" x14ac:dyDescent="0.25">
      <c r="A9" s="3" t="s">
        <v>43</v>
      </c>
      <c r="B9" s="5">
        <v>141</v>
      </c>
      <c r="C9" s="5">
        <v>15</v>
      </c>
      <c r="D9" s="5">
        <v>1</v>
      </c>
      <c r="E9" s="5">
        <v>3</v>
      </c>
      <c r="F9" s="5">
        <v>6</v>
      </c>
      <c r="G9" s="5">
        <v>-2</v>
      </c>
      <c r="H9" s="5">
        <v>3</v>
      </c>
    </row>
    <row r="10" spans="1:8" x14ac:dyDescent="0.25">
      <c r="A10" s="3" t="s">
        <v>67</v>
      </c>
      <c r="B10" s="5">
        <v>139</v>
      </c>
      <c r="C10" s="5">
        <v>11</v>
      </c>
      <c r="D10" s="5">
        <v>1</v>
      </c>
      <c r="E10" s="5">
        <v>3</v>
      </c>
      <c r="F10" s="5">
        <v>7</v>
      </c>
      <c r="G10" s="5">
        <v>-3</v>
      </c>
      <c r="H10" s="5">
        <v>0</v>
      </c>
    </row>
    <row r="11" spans="1:8" x14ac:dyDescent="0.25">
      <c r="A11" s="3" t="s">
        <v>53</v>
      </c>
      <c r="B11" s="5">
        <v>112</v>
      </c>
      <c r="C11" s="5">
        <v>15</v>
      </c>
      <c r="D11" s="5">
        <v>2</v>
      </c>
      <c r="E11" s="5">
        <v>0</v>
      </c>
      <c r="F11" s="5">
        <v>4</v>
      </c>
      <c r="G11" s="5">
        <v>-2</v>
      </c>
      <c r="H11" s="5">
        <v>3</v>
      </c>
    </row>
    <row r="12" spans="1:8" x14ac:dyDescent="0.25">
      <c r="A12" s="3" t="s">
        <v>41</v>
      </c>
      <c r="B12" s="5">
        <v>108</v>
      </c>
      <c r="C12" s="5">
        <v>9</v>
      </c>
      <c r="D12" s="5">
        <v>2</v>
      </c>
      <c r="E12" s="5">
        <v>0</v>
      </c>
      <c r="F12" s="5">
        <v>5</v>
      </c>
      <c r="G12" s="5">
        <v>-2</v>
      </c>
      <c r="H12" s="5">
        <v>3</v>
      </c>
    </row>
    <row r="13" spans="1:8" x14ac:dyDescent="0.25">
      <c r="A13" s="3" t="s">
        <v>19</v>
      </c>
      <c r="B13" s="5">
        <v>99</v>
      </c>
      <c r="C13" s="5">
        <v>8</v>
      </c>
      <c r="D13" s="5">
        <v>1</v>
      </c>
      <c r="E13" s="5">
        <v>2</v>
      </c>
      <c r="F13" s="5">
        <v>5</v>
      </c>
      <c r="G13" s="5">
        <v>-1</v>
      </c>
      <c r="H13" s="5">
        <v>4</v>
      </c>
    </row>
    <row r="14" spans="1:8" x14ac:dyDescent="0.25">
      <c r="A14" s="3" t="s">
        <v>70</v>
      </c>
      <c r="B14" s="5">
        <v>91</v>
      </c>
      <c r="C14" s="5">
        <v>9</v>
      </c>
      <c r="D14" s="5">
        <v>2</v>
      </c>
      <c r="E14" s="5">
        <v>0</v>
      </c>
      <c r="F14" s="5">
        <v>4</v>
      </c>
      <c r="G14" s="5">
        <v>-2</v>
      </c>
      <c r="H14" s="5">
        <v>0</v>
      </c>
    </row>
    <row r="15" spans="1:8" x14ac:dyDescent="0.25">
      <c r="A15" s="3" t="s">
        <v>64</v>
      </c>
      <c r="B15" s="5">
        <v>84</v>
      </c>
      <c r="C15" s="5">
        <v>12</v>
      </c>
      <c r="D15" s="5">
        <v>2</v>
      </c>
      <c r="E15" s="5">
        <v>0</v>
      </c>
      <c r="F15" s="5">
        <v>3</v>
      </c>
      <c r="G15" s="5">
        <v>-3</v>
      </c>
      <c r="H15" s="5">
        <v>2</v>
      </c>
    </row>
    <row r="16" spans="1:8" x14ac:dyDescent="0.25">
      <c r="A16" s="3" t="s">
        <v>50</v>
      </c>
      <c r="B16" s="5">
        <v>73</v>
      </c>
      <c r="C16" s="5">
        <v>11</v>
      </c>
      <c r="D16" s="5">
        <v>3</v>
      </c>
      <c r="E16" s="5">
        <v>0</v>
      </c>
      <c r="F16" s="5">
        <v>2</v>
      </c>
      <c r="G16" s="5">
        <v>-2</v>
      </c>
      <c r="H16" s="5">
        <v>2</v>
      </c>
    </row>
    <row r="17" spans="1:8" x14ac:dyDescent="0.25">
      <c r="A17" s="3" t="s">
        <v>49</v>
      </c>
      <c r="B17" s="5">
        <v>53</v>
      </c>
      <c r="C17" s="5">
        <v>10</v>
      </c>
      <c r="D17" s="5">
        <v>4</v>
      </c>
      <c r="E17" s="5">
        <v>0</v>
      </c>
      <c r="F17" s="5">
        <v>0</v>
      </c>
      <c r="G17" s="5">
        <v>-2</v>
      </c>
      <c r="H17" s="5">
        <v>3</v>
      </c>
    </row>
    <row r="18" spans="1:8" x14ac:dyDescent="0.25">
      <c r="A18" s="3" t="s">
        <v>38</v>
      </c>
      <c r="B18" s="5">
        <v>51</v>
      </c>
      <c r="C18" s="5">
        <v>7</v>
      </c>
      <c r="D18" s="5">
        <v>4</v>
      </c>
      <c r="E18" s="5">
        <v>0</v>
      </c>
      <c r="F18" s="5">
        <v>0</v>
      </c>
      <c r="G18" s="5">
        <v>-2</v>
      </c>
      <c r="H18" s="5">
        <v>3</v>
      </c>
    </row>
    <row r="19" spans="1:8" x14ac:dyDescent="0.25">
      <c r="A19" s="3" t="s">
        <v>74</v>
      </c>
      <c r="B19" s="5">
        <v>51</v>
      </c>
      <c r="C19" s="5">
        <v>7</v>
      </c>
      <c r="D19" s="5">
        <v>3</v>
      </c>
      <c r="E19" s="5">
        <v>0</v>
      </c>
      <c r="F19" s="5">
        <v>2</v>
      </c>
      <c r="G19" s="5">
        <v>-3</v>
      </c>
      <c r="H19" s="5">
        <v>0</v>
      </c>
    </row>
    <row r="20" spans="1:8" x14ac:dyDescent="0.25">
      <c r="A20" s="3" t="s">
        <v>62</v>
      </c>
      <c r="B20" s="5">
        <v>39</v>
      </c>
      <c r="C20" s="5">
        <v>10</v>
      </c>
      <c r="D20" s="5">
        <v>5</v>
      </c>
      <c r="E20" s="5">
        <v>0</v>
      </c>
      <c r="F20" s="5">
        <v>0</v>
      </c>
      <c r="G20" s="5">
        <v>-2</v>
      </c>
      <c r="H20" s="5">
        <v>3</v>
      </c>
    </row>
    <row r="21" spans="1:8" x14ac:dyDescent="0.25">
      <c r="A21" s="3" t="s">
        <v>16</v>
      </c>
      <c r="B21" s="5">
        <v>38</v>
      </c>
      <c r="C21" s="5">
        <v>4</v>
      </c>
      <c r="D21" s="5">
        <v>2</v>
      </c>
      <c r="E21" s="5">
        <v>0</v>
      </c>
      <c r="F21" s="5">
        <v>2</v>
      </c>
      <c r="G21" s="5">
        <v>1</v>
      </c>
      <c r="H21" s="5">
        <v>3</v>
      </c>
    </row>
    <row r="22" spans="1:8" x14ac:dyDescent="0.25">
      <c r="A22" s="3" t="s">
        <v>31</v>
      </c>
      <c r="B22" s="5">
        <v>35</v>
      </c>
      <c r="C22" s="5">
        <v>7</v>
      </c>
      <c r="D22" s="5">
        <v>5</v>
      </c>
      <c r="E22" s="5">
        <v>0</v>
      </c>
      <c r="F22" s="5">
        <v>0</v>
      </c>
      <c r="G22" s="5">
        <v>-2</v>
      </c>
      <c r="H22" s="5">
        <v>2</v>
      </c>
    </row>
    <row r="23" spans="1:8" x14ac:dyDescent="0.25">
      <c r="A23" s="3" t="s">
        <v>73</v>
      </c>
      <c r="B23" s="5">
        <v>31</v>
      </c>
      <c r="C23" s="5">
        <v>7</v>
      </c>
      <c r="D23" s="5">
        <v>5</v>
      </c>
      <c r="E23" s="5">
        <v>0</v>
      </c>
      <c r="F23" s="5">
        <v>0</v>
      </c>
      <c r="G23" s="5">
        <v>-2</v>
      </c>
      <c r="H23" s="5">
        <v>1</v>
      </c>
    </row>
    <row r="24" spans="1:8" x14ac:dyDescent="0.25">
      <c r="A24" s="3" t="s">
        <v>76</v>
      </c>
      <c r="B24" s="5">
        <v>30</v>
      </c>
      <c r="C24" s="5">
        <v>5</v>
      </c>
      <c r="D24" s="5">
        <v>4</v>
      </c>
      <c r="E24" s="5">
        <v>0</v>
      </c>
      <c r="F24" s="5">
        <v>0</v>
      </c>
      <c r="G24" s="5">
        <v>-2</v>
      </c>
      <c r="H24" s="5">
        <v>0</v>
      </c>
    </row>
    <row r="25" spans="1:8" x14ac:dyDescent="0.25">
      <c r="A25" s="3" t="s">
        <v>68</v>
      </c>
      <c r="B25" s="5">
        <v>25</v>
      </c>
      <c r="C25" s="5">
        <v>9</v>
      </c>
      <c r="D25" s="5">
        <v>6</v>
      </c>
      <c r="E25" s="5">
        <v>0</v>
      </c>
      <c r="F25" s="5">
        <v>0</v>
      </c>
      <c r="G25" s="5">
        <v>-2</v>
      </c>
      <c r="H25" s="5">
        <v>1</v>
      </c>
    </row>
    <row r="26" spans="1:8" x14ac:dyDescent="0.25">
      <c r="A26" s="3" t="s">
        <v>60</v>
      </c>
      <c r="B26" s="5">
        <v>16</v>
      </c>
      <c r="C26" s="5">
        <v>6</v>
      </c>
      <c r="D26" s="5">
        <v>7</v>
      </c>
      <c r="E26" s="5">
        <v>0</v>
      </c>
      <c r="F26" s="5">
        <v>0</v>
      </c>
      <c r="G26" s="5">
        <v>-2</v>
      </c>
      <c r="H26" s="5">
        <v>2</v>
      </c>
    </row>
    <row r="27" spans="1:8" x14ac:dyDescent="0.25">
      <c r="A27" s="3" t="s">
        <v>77</v>
      </c>
      <c r="B27" s="5">
        <v>15</v>
      </c>
      <c r="C27" s="5">
        <v>4</v>
      </c>
      <c r="D27" s="5">
        <v>5</v>
      </c>
      <c r="E27" s="5">
        <v>0</v>
      </c>
      <c r="F27" s="5">
        <v>0</v>
      </c>
      <c r="G27" s="5">
        <v>-2</v>
      </c>
      <c r="H27" s="5">
        <v>-1</v>
      </c>
    </row>
    <row r="28" spans="1:8" x14ac:dyDescent="0.25">
      <c r="A28" s="3" t="s">
        <v>71</v>
      </c>
      <c r="B28" s="5">
        <v>15</v>
      </c>
      <c r="C28" s="5">
        <v>5</v>
      </c>
      <c r="D28" s="5">
        <v>6</v>
      </c>
      <c r="E28" s="5">
        <v>0</v>
      </c>
      <c r="F28" s="5">
        <v>0</v>
      </c>
      <c r="G28" s="5">
        <v>-2</v>
      </c>
      <c r="H28" s="5">
        <v>4</v>
      </c>
    </row>
    <row r="29" spans="1:8" x14ac:dyDescent="0.25">
      <c r="A29" s="3" t="s">
        <v>18</v>
      </c>
      <c r="B29" s="5">
        <v>12</v>
      </c>
      <c r="C29" s="5">
        <v>6</v>
      </c>
      <c r="D29" s="5">
        <v>8</v>
      </c>
      <c r="E29" s="5">
        <v>0</v>
      </c>
      <c r="F29" s="5">
        <v>0</v>
      </c>
      <c r="G29" s="5">
        <v>0</v>
      </c>
      <c r="H29" s="5">
        <v>3</v>
      </c>
    </row>
    <row r="30" spans="1:8" x14ac:dyDescent="0.25">
      <c r="A30" s="3" t="s">
        <v>57</v>
      </c>
      <c r="B30" s="5">
        <v>11</v>
      </c>
      <c r="C30" s="5">
        <v>5</v>
      </c>
      <c r="D30" s="5">
        <v>7</v>
      </c>
      <c r="E30" s="5">
        <v>0</v>
      </c>
      <c r="F30" s="5">
        <v>0</v>
      </c>
      <c r="G30" s="5">
        <v>-2</v>
      </c>
      <c r="H30" s="5">
        <v>2</v>
      </c>
    </row>
    <row r="31" spans="1:8" x14ac:dyDescent="0.25">
      <c r="A31" s="3" t="s">
        <v>80</v>
      </c>
      <c r="B31" s="5">
        <v>7</v>
      </c>
      <c r="C31" s="5">
        <v>2</v>
      </c>
      <c r="D31" s="5">
        <v>7</v>
      </c>
      <c r="E31" s="5">
        <v>0</v>
      </c>
      <c r="F31" s="5">
        <v>0</v>
      </c>
      <c r="G31" s="5">
        <v>-3</v>
      </c>
      <c r="H31" s="5">
        <v>-1</v>
      </c>
    </row>
    <row r="32" spans="1:8" x14ac:dyDescent="0.25">
      <c r="A32" s="3" t="s">
        <v>42</v>
      </c>
      <c r="B32" s="5">
        <v>6</v>
      </c>
      <c r="C32" s="5">
        <v>3</v>
      </c>
      <c r="D32" s="5">
        <v>8</v>
      </c>
      <c r="E32" s="5">
        <v>0</v>
      </c>
      <c r="F32" s="5">
        <v>0</v>
      </c>
      <c r="G32" s="5">
        <v>-1</v>
      </c>
      <c r="H32" s="5">
        <v>0</v>
      </c>
    </row>
    <row r="33" spans="1:8" x14ac:dyDescent="0.25">
      <c r="A33" s="3" t="s">
        <v>81</v>
      </c>
      <c r="B33" s="5">
        <v>5</v>
      </c>
      <c r="C33" s="5">
        <v>2</v>
      </c>
      <c r="D33" s="5">
        <v>8</v>
      </c>
      <c r="E33" s="5">
        <v>0</v>
      </c>
      <c r="F33" s="5">
        <v>0</v>
      </c>
      <c r="G33" s="5">
        <v>-2</v>
      </c>
      <c r="H33" s="5">
        <v>-1</v>
      </c>
    </row>
    <row r="34" spans="1:8" x14ac:dyDescent="0.25">
      <c r="A34" s="3" t="s">
        <v>17</v>
      </c>
      <c r="B34" s="5">
        <v>5</v>
      </c>
      <c r="C34" s="5">
        <v>2</v>
      </c>
      <c r="D34" s="5">
        <v>7</v>
      </c>
      <c r="E34" s="5">
        <v>0</v>
      </c>
      <c r="F34" s="5">
        <v>0</v>
      </c>
      <c r="G34" s="5">
        <v>3</v>
      </c>
      <c r="H34" s="5">
        <v>4</v>
      </c>
    </row>
    <row r="35" spans="1:8" x14ac:dyDescent="0.25">
      <c r="A35" s="3" t="s">
        <v>82</v>
      </c>
      <c r="B35" s="5">
        <v>1</v>
      </c>
      <c r="C35" s="5">
        <v>1</v>
      </c>
      <c r="D35" s="5">
        <v>10</v>
      </c>
      <c r="E35" s="5">
        <v>0</v>
      </c>
      <c r="F35" s="5">
        <v>0</v>
      </c>
      <c r="G35" s="5">
        <v>-1</v>
      </c>
      <c r="H35" s="5">
        <v>-1</v>
      </c>
    </row>
    <row r="36" spans="1:8" x14ac:dyDescent="0.25">
      <c r="A36" s="3" t="s">
        <v>1</v>
      </c>
      <c r="B36" s="5">
        <v>2080</v>
      </c>
      <c r="C36" s="5">
        <v>260</v>
      </c>
      <c r="D36" s="5">
        <v>1</v>
      </c>
      <c r="E36" s="5">
        <v>26</v>
      </c>
      <c r="F36" s="5">
        <v>78</v>
      </c>
      <c r="G36" s="5">
        <v>-5</v>
      </c>
      <c r="H36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Anual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Guerrero Montero</dc:creator>
  <cp:lastModifiedBy>Danilo Guerrero Montero</cp:lastModifiedBy>
  <dcterms:created xsi:type="dcterms:W3CDTF">2024-11-08T14:17:22Z</dcterms:created>
  <dcterms:modified xsi:type="dcterms:W3CDTF">2025-12-30T20:41:25Z</dcterms:modified>
</cp:coreProperties>
</file>