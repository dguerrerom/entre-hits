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D5000BPVT\!!!!!!\radio\EM\conteos\"/>
    </mc:Choice>
  </mc:AlternateContent>
  <xr:revisionPtr revIDLastSave="0" documentId="13_ncr:1_{7B3E80B6-B5E3-414E-A94B-753F47B4EB21}" xr6:coauthVersionLast="47" xr6:coauthVersionMax="47" xr10:uidLastSave="{00000000-0000-0000-0000-000000000000}"/>
  <bookViews>
    <workbookView xWindow="-120" yWindow="-120" windowWidth="21840" windowHeight="13020" activeTab="2" xr2:uid="{01B0C911-4517-4867-9A52-2E8A4C4B912E}"/>
  </bookViews>
  <sheets>
    <sheet name="Data" sheetId="1" r:id="rId1"/>
    <sheet name="Anual" sheetId="4" r:id="rId2"/>
    <sheet name="Extra" sheetId="5" r:id="rId3"/>
  </sheets>
  <definedNames>
    <definedName name="_xlnm._FilterDatabase" localSheetId="0" hidden="1">Data!$A$1:$L$761</definedName>
  </definedNames>
  <calcPr calcId="191029"/>
  <pivotCaches>
    <pivotCache cacheId="6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61" i="1" l="1"/>
  <c r="K761" i="1"/>
  <c r="J761" i="1"/>
  <c r="H761" i="1"/>
  <c r="G761" i="1"/>
  <c r="I761" i="1" s="1"/>
  <c r="L760" i="1"/>
  <c r="K760" i="1"/>
  <c r="J760" i="1"/>
  <c r="H760" i="1"/>
  <c r="G760" i="1"/>
  <c r="I760" i="1" s="1"/>
  <c r="L759" i="1"/>
  <c r="K759" i="1"/>
  <c r="J759" i="1"/>
  <c r="H759" i="1"/>
  <c r="G759" i="1"/>
  <c r="I759" i="1" s="1"/>
  <c r="L758" i="1"/>
  <c r="K758" i="1"/>
  <c r="J758" i="1"/>
  <c r="H758" i="1"/>
  <c r="G758" i="1"/>
  <c r="I758" i="1" s="1"/>
  <c r="L757" i="1"/>
  <c r="K757" i="1"/>
  <c r="J757" i="1"/>
  <c r="H757" i="1"/>
  <c r="G757" i="1"/>
  <c r="I757" i="1" s="1"/>
  <c r="L756" i="1"/>
  <c r="K756" i="1"/>
  <c r="J756" i="1"/>
  <c r="H756" i="1"/>
  <c r="G756" i="1"/>
  <c r="I756" i="1" s="1"/>
  <c r="L755" i="1"/>
  <c r="K755" i="1"/>
  <c r="J755" i="1"/>
  <c r="H755" i="1"/>
  <c r="G755" i="1"/>
  <c r="I755" i="1" s="1"/>
  <c r="L754" i="1"/>
  <c r="K754" i="1"/>
  <c r="J754" i="1"/>
  <c r="H754" i="1"/>
  <c r="G754" i="1"/>
  <c r="I754" i="1" s="1"/>
  <c r="L753" i="1"/>
  <c r="K753" i="1"/>
  <c r="J753" i="1"/>
  <c r="H753" i="1"/>
  <c r="G753" i="1"/>
  <c r="I753" i="1" s="1"/>
  <c r="L752" i="1"/>
  <c r="K752" i="1"/>
  <c r="J752" i="1"/>
  <c r="H752" i="1"/>
  <c r="G752" i="1"/>
  <c r="I752" i="1" s="1"/>
  <c r="L751" i="1"/>
  <c r="K751" i="1"/>
  <c r="J751" i="1"/>
  <c r="H751" i="1"/>
  <c r="G751" i="1"/>
  <c r="I751" i="1" s="1"/>
  <c r="L750" i="1"/>
  <c r="K750" i="1"/>
  <c r="J750" i="1"/>
  <c r="H750" i="1"/>
  <c r="G750" i="1"/>
  <c r="I750" i="1" s="1"/>
  <c r="L749" i="1"/>
  <c r="K749" i="1"/>
  <c r="J749" i="1"/>
  <c r="H749" i="1"/>
  <c r="G749" i="1"/>
  <c r="I749" i="1" s="1"/>
  <c r="L748" i="1"/>
  <c r="K748" i="1"/>
  <c r="J748" i="1"/>
  <c r="H748" i="1"/>
  <c r="G748" i="1"/>
  <c r="I748" i="1" s="1"/>
  <c r="L747" i="1"/>
  <c r="K747" i="1"/>
  <c r="J747" i="1"/>
  <c r="H747" i="1"/>
  <c r="G747" i="1"/>
  <c r="I747" i="1" s="1"/>
  <c r="L746" i="1"/>
  <c r="K746" i="1"/>
  <c r="J746" i="1"/>
  <c r="H746" i="1"/>
  <c r="G746" i="1"/>
  <c r="I746" i="1" s="1"/>
  <c r="L745" i="1"/>
  <c r="K745" i="1"/>
  <c r="J745" i="1"/>
  <c r="H745" i="1"/>
  <c r="G745" i="1"/>
  <c r="I745" i="1" s="1"/>
  <c r="L744" i="1"/>
  <c r="K744" i="1"/>
  <c r="J744" i="1"/>
  <c r="H744" i="1"/>
  <c r="G744" i="1"/>
  <c r="I744" i="1" s="1"/>
  <c r="L743" i="1"/>
  <c r="K743" i="1"/>
  <c r="J743" i="1"/>
  <c r="H743" i="1"/>
  <c r="G743" i="1"/>
  <c r="I743" i="1" s="1"/>
  <c r="L742" i="1"/>
  <c r="K742" i="1"/>
  <c r="J742" i="1"/>
  <c r="H742" i="1"/>
  <c r="G742" i="1"/>
  <c r="I742" i="1" s="1"/>
  <c r="L741" i="1"/>
  <c r="K741" i="1"/>
  <c r="J741" i="1"/>
  <c r="H741" i="1"/>
  <c r="G741" i="1"/>
  <c r="I741" i="1" s="1"/>
  <c r="L740" i="1"/>
  <c r="K740" i="1"/>
  <c r="J740" i="1"/>
  <c r="H740" i="1"/>
  <c r="G740" i="1"/>
  <c r="I740" i="1" s="1"/>
  <c r="L739" i="1"/>
  <c r="K739" i="1"/>
  <c r="J739" i="1"/>
  <c r="H739" i="1"/>
  <c r="G739" i="1"/>
  <c r="I739" i="1" s="1"/>
  <c r="L738" i="1"/>
  <c r="K738" i="1"/>
  <c r="J738" i="1"/>
  <c r="H738" i="1"/>
  <c r="G738" i="1"/>
  <c r="I738" i="1" s="1"/>
  <c r="L737" i="1"/>
  <c r="K737" i="1"/>
  <c r="J737" i="1"/>
  <c r="H737" i="1"/>
  <c r="G737" i="1"/>
  <c r="I737" i="1" s="1"/>
  <c r="L736" i="1"/>
  <c r="K736" i="1"/>
  <c r="J736" i="1"/>
  <c r="H736" i="1"/>
  <c r="G736" i="1"/>
  <c r="I736" i="1" s="1"/>
  <c r="L735" i="1"/>
  <c r="K735" i="1"/>
  <c r="J735" i="1"/>
  <c r="H735" i="1"/>
  <c r="G735" i="1"/>
  <c r="I735" i="1" s="1"/>
  <c r="L734" i="1"/>
  <c r="K734" i="1"/>
  <c r="J734" i="1"/>
  <c r="H734" i="1"/>
  <c r="G734" i="1"/>
  <c r="I734" i="1" s="1"/>
  <c r="L733" i="1"/>
  <c r="K733" i="1"/>
  <c r="J733" i="1"/>
  <c r="H733" i="1"/>
  <c r="G733" i="1"/>
  <c r="I733" i="1" s="1"/>
  <c r="L732" i="1"/>
  <c r="K732" i="1"/>
  <c r="J732" i="1"/>
  <c r="H732" i="1"/>
  <c r="G732" i="1"/>
  <c r="I732" i="1" s="1"/>
  <c r="L731" i="1"/>
  <c r="K731" i="1"/>
  <c r="J731" i="1"/>
  <c r="H731" i="1"/>
  <c r="G731" i="1"/>
  <c r="I731" i="1" s="1"/>
  <c r="L730" i="1"/>
  <c r="K730" i="1"/>
  <c r="J730" i="1"/>
  <c r="H730" i="1"/>
  <c r="G730" i="1"/>
  <c r="I730" i="1" s="1"/>
  <c r="L729" i="1"/>
  <c r="K729" i="1"/>
  <c r="J729" i="1"/>
  <c r="H729" i="1"/>
  <c r="G729" i="1"/>
  <c r="I729" i="1" s="1"/>
  <c r="L728" i="1"/>
  <c r="K728" i="1"/>
  <c r="J728" i="1"/>
  <c r="H728" i="1"/>
  <c r="G728" i="1"/>
  <c r="I728" i="1" s="1"/>
  <c r="L727" i="1"/>
  <c r="K727" i="1"/>
  <c r="J727" i="1"/>
  <c r="H727" i="1"/>
  <c r="G727" i="1"/>
  <c r="I727" i="1" s="1"/>
  <c r="L726" i="1"/>
  <c r="K726" i="1"/>
  <c r="J726" i="1"/>
  <c r="H726" i="1"/>
  <c r="G726" i="1"/>
  <c r="I726" i="1" s="1"/>
  <c r="L725" i="1"/>
  <c r="K725" i="1"/>
  <c r="J725" i="1"/>
  <c r="H725" i="1"/>
  <c r="G725" i="1"/>
  <c r="I725" i="1" s="1"/>
  <c r="L724" i="1"/>
  <c r="K724" i="1"/>
  <c r="J724" i="1"/>
  <c r="H724" i="1"/>
  <c r="G724" i="1"/>
  <c r="I724" i="1" s="1"/>
  <c r="L723" i="1"/>
  <c r="K723" i="1"/>
  <c r="J723" i="1"/>
  <c r="H723" i="1"/>
  <c r="G723" i="1"/>
  <c r="I723" i="1" s="1"/>
  <c r="L722" i="1"/>
  <c r="K722" i="1"/>
  <c r="J722" i="1"/>
  <c r="H722" i="1"/>
  <c r="G722" i="1"/>
  <c r="I722" i="1" s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701" i="1"/>
  <c r="J701" i="1"/>
  <c r="H701" i="1"/>
  <c r="G701" i="1"/>
  <c r="I701" i="1" s="1"/>
  <c r="K700" i="1"/>
  <c r="J700" i="1"/>
  <c r="H700" i="1"/>
  <c r="G700" i="1"/>
  <c r="I700" i="1" s="1"/>
  <c r="K699" i="1"/>
  <c r="J699" i="1"/>
  <c r="H699" i="1"/>
  <c r="G699" i="1"/>
  <c r="I699" i="1" s="1"/>
  <c r="K698" i="1"/>
  <c r="J698" i="1"/>
  <c r="H698" i="1"/>
  <c r="G698" i="1"/>
  <c r="I698" i="1" s="1"/>
  <c r="K697" i="1"/>
  <c r="J697" i="1"/>
  <c r="H697" i="1"/>
  <c r="G697" i="1"/>
  <c r="I697" i="1" s="1"/>
  <c r="K696" i="1"/>
  <c r="J696" i="1"/>
  <c r="H696" i="1"/>
  <c r="G696" i="1"/>
  <c r="I696" i="1" s="1"/>
  <c r="K695" i="1"/>
  <c r="J695" i="1"/>
  <c r="H695" i="1"/>
  <c r="G695" i="1"/>
  <c r="I695" i="1" s="1"/>
  <c r="K694" i="1"/>
  <c r="J694" i="1"/>
  <c r="H694" i="1"/>
  <c r="G694" i="1"/>
  <c r="I694" i="1" s="1"/>
  <c r="K693" i="1"/>
  <c r="J693" i="1"/>
  <c r="H693" i="1"/>
  <c r="G693" i="1"/>
  <c r="I693" i="1" s="1"/>
  <c r="K692" i="1"/>
  <c r="J692" i="1"/>
  <c r="H692" i="1"/>
  <c r="G692" i="1"/>
  <c r="I692" i="1" s="1"/>
  <c r="K691" i="1"/>
  <c r="J691" i="1"/>
  <c r="H691" i="1"/>
  <c r="G691" i="1"/>
  <c r="I691" i="1" s="1"/>
  <c r="K690" i="1"/>
  <c r="J690" i="1"/>
  <c r="H690" i="1"/>
  <c r="G690" i="1"/>
  <c r="I690" i="1" s="1"/>
  <c r="K689" i="1"/>
  <c r="J689" i="1"/>
  <c r="H689" i="1"/>
  <c r="G689" i="1"/>
  <c r="I689" i="1" s="1"/>
  <c r="K688" i="1"/>
  <c r="J688" i="1"/>
  <c r="H688" i="1"/>
  <c r="G688" i="1"/>
  <c r="I688" i="1" s="1"/>
  <c r="K687" i="1"/>
  <c r="J687" i="1"/>
  <c r="H687" i="1"/>
  <c r="G687" i="1"/>
  <c r="I687" i="1" s="1"/>
  <c r="K686" i="1"/>
  <c r="J686" i="1"/>
  <c r="H686" i="1"/>
  <c r="G686" i="1"/>
  <c r="I686" i="1" s="1"/>
  <c r="K685" i="1"/>
  <c r="J685" i="1"/>
  <c r="H685" i="1"/>
  <c r="G685" i="1"/>
  <c r="I685" i="1" s="1"/>
  <c r="K684" i="1"/>
  <c r="J684" i="1"/>
  <c r="H684" i="1"/>
  <c r="G684" i="1"/>
  <c r="I684" i="1" s="1"/>
  <c r="K683" i="1"/>
  <c r="J683" i="1"/>
  <c r="H683" i="1"/>
  <c r="G683" i="1"/>
  <c r="I683" i="1" s="1"/>
  <c r="K682" i="1"/>
  <c r="J682" i="1"/>
  <c r="H682" i="1"/>
  <c r="G682" i="1"/>
  <c r="I682" i="1" s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K2" i="1"/>
  <c r="J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381" i="1"/>
  <c r="I381" i="1" s="1"/>
  <c r="G380" i="1"/>
  <c r="I380" i="1" s="1"/>
  <c r="G379" i="1"/>
  <c r="I379" i="1" s="1"/>
  <c r="G378" i="1"/>
  <c r="I378" i="1" s="1"/>
  <c r="G377" i="1"/>
  <c r="I377" i="1" s="1"/>
  <c r="G376" i="1"/>
  <c r="I376" i="1" s="1"/>
  <c r="G375" i="1"/>
  <c r="I375" i="1" s="1"/>
  <c r="G374" i="1"/>
  <c r="I374" i="1" s="1"/>
  <c r="G373" i="1"/>
  <c r="I373" i="1" s="1"/>
  <c r="G372" i="1"/>
  <c r="I372" i="1" s="1"/>
  <c r="G371" i="1"/>
  <c r="I371" i="1" s="1"/>
  <c r="G370" i="1"/>
  <c r="I370" i="1" s="1"/>
  <c r="G369" i="1"/>
  <c r="I369" i="1" s="1"/>
  <c r="G368" i="1"/>
  <c r="I368" i="1" s="1"/>
  <c r="G367" i="1"/>
  <c r="I367" i="1" s="1"/>
  <c r="G366" i="1"/>
  <c r="I366" i="1" s="1"/>
  <c r="G365" i="1"/>
  <c r="I365" i="1" s="1"/>
  <c r="G364" i="1"/>
  <c r="I364" i="1" s="1"/>
  <c r="G363" i="1"/>
  <c r="I363" i="1" s="1"/>
  <c r="G362" i="1"/>
  <c r="I362" i="1" s="1"/>
  <c r="G361" i="1"/>
  <c r="I361" i="1" s="1"/>
  <c r="G360" i="1"/>
  <c r="I360" i="1" s="1"/>
  <c r="G359" i="1"/>
  <c r="I359" i="1" s="1"/>
  <c r="G358" i="1"/>
  <c r="I358" i="1" s="1"/>
  <c r="G357" i="1"/>
  <c r="I357" i="1" s="1"/>
  <c r="G356" i="1"/>
  <c r="I356" i="1" s="1"/>
  <c r="G355" i="1"/>
  <c r="I355" i="1" s="1"/>
  <c r="G354" i="1"/>
  <c r="I354" i="1" s="1"/>
  <c r="G353" i="1"/>
  <c r="I353" i="1" s="1"/>
  <c r="G352" i="1"/>
  <c r="I352" i="1" s="1"/>
  <c r="G351" i="1"/>
  <c r="I351" i="1" s="1"/>
  <c r="G350" i="1"/>
  <c r="I350" i="1" s="1"/>
  <c r="G349" i="1"/>
  <c r="I349" i="1" s="1"/>
  <c r="G348" i="1"/>
  <c r="I348" i="1" s="1"/>
  <c r="G347" i="1"/>
  <c r="I347" i="1" s="1"/>
  <c r="G346" i="1"/>
  <c r="I346" i="1" s="1"/>
  <c r="G345" i="1"/>
  <c r="I345" i="1" s="1"/>
  <c r="G344" i="1"/>
  <c r="I344" i="1" s="1"/>
  <c r="G343" i="1"/>
  <c r="I343" i="1" s="1"/>
  <c r="G342" i="1"/>
  <c r="I342" i="1" s="1"/>
  <c r="G341" i="1"/>
  <c r="I341" i="1" s="1"/>
  <c r="G340" i="1"/>
  <c r="I340" i="1" s="1"/>
  <c r="G339" i="1"/>
  <c r="I339" i="1" s="1"/>
  <c r="G338" i="1"/>
  <c r="I338" i="1" s="1"/>
  <c r="G337" i="1"/>
  <c r="I337" i="1" s="1"/>
  <c r="G336" i="1"/>
  <c r="I336" i="1" s="1"/>
  <c r="G335" i="1"/>
  <c r="I335" i="1" s="1"/>
  <c r="G334" i="1"/>
  <c r="I334" i="1" s="1"/>
  <c r="G333" i="1"/>
  <c r="I333" i="1" s="1"/>
  <c r="G332" i="1"/>
  <c r="I332" i="1" s="1"/>
  <c r="G331" i="1"/>
  <c r="I331" i="1" s="1"/>
  <c r="G330" i="1"/>
  <c r="I330" i="1" s="1"/>
  <c r="G329" i="1"/>
  <c r="I329" i="1" s="1"/>
  <c r="G328" i="1"/>
  <c r="I328" i="1" s="1"/>
  <c r="G327" i="1"/>
  <c r="I327" i="1" s="1"/>
  <c r="G326" i="1"/>
  <c r="I326" i="1" s="1"/>
  <c r="G325" i="1"/>
  <c r="I325" i="1" s="1"/>
  <c r="G324" i="1"/>
  <c r="I324" i="1" s="1"/>
  <c r="G323" i="1"/>
  <c r="I323" i="1" s="1"/>
  <c r="G322" i="1"/>
  <c r="I322" i="1" s="1"/>
  <c r="G321" i="1"/>
  <c r="I321" i="1" s="1"/>
  <c r="G320" i="1"/>
  <c r="I320" i="1" s="1"/>
  <c r="G319" i="1"/>
  <c r="I319" i="1" s="1"/>
  <c r="G318" i="1"/>
  <c r="I318" i="1" s="1"/>
  <c r="G317" i="1"/>
  <c r="I317" i="1" s="1"/>
  <c r="G316" i="1"/>
  <c r="I316" i="1" s="1"/>
  <c r="G315" i="1"/>
  <c r="I315" i="1" s="1"/>
  <c r="G314" i="1"/>
  <c r="I314" i="1" s="1"/>
  <c r="G313" i="1"/>
  <c r="I313" i="1" s="1"/>
  <c r="G312" i="1"/>
  <c r="I312" i="1" s="1"/>
  <c r="G311" i="1"/>
  <c r="I311" i="1" s="1"/>
  <c r="G310" i="1"/>
  <c r="I310" i="1" s="1"/>
  <c r="G309" i="1"/>
  <c r="I309" i="1" s="1"/>
  <c r="G308" i="1"/>
  <c r="I308" i="1" s="1"/>
  <c r="G307" i="1"/>
  <c r="I307" i="1" s="1"/>
  <c r="G306" i="1"/>
  <c r="I306" i="1" s="1"/>
  <c r="G305" i="1"/>
  <c r="I305" i="1" s="1"/>
  <c r="G304" i="1"/>
  <c r="I304" i="1" s="1"/>
  <c r="G303" i="1"/>
  <c r="I303" i="1" s="1"/>
  <c r="G302" i="1"/>
  <c r="I302" i="1" s="1"/>
  <c r="G301" i="1"/>
  <c r="I301" i="1" s="1"/>
  <c r="G300" i="1"/>
  <c r="I300" i="1" s="1"/>
  <c r="G299" i="1"/>
  <c r="I299" i="1" s="1"/>
  <c r="G298" i="1"/>
  <c r="I298" i="1" s="1"/>
  <c r="G297" i="1"/>
  <c r="I297" i="1" s="1"/>
  <c r="G296" i="1"/>
  <c r="I296" i="1" s="1"/>
  <c r="G295" i="1"/>
  <c r="I295" i="1" s="1"/>
  <c r="G294" i="1"/>
  <c r="I294" i="1" s="1"/>
  <c r="G293" i="1"/>
  <c r="I293" i="1" s="1"/>
  <c r="G292" i="1"/>
  <c r="I292" i="1" s="1"/>
  <c r="G291" i="1"/>
  <c r="I291" i="1" s="1"/>
  <c r="G290" i="1"/>
  <c r="I290" i="1" s="1"/>
  <c r="G289" i="1"/>
  <c r="I289" i="1" s="1"/>
  <c r="G288" i="1"/>
  <c r="I288" i="1" s="1"/>
  <c r="G287" i="1"/>
  <c r="I287" i="1" s="1"/>
  <c r="G286" i="1"/>
  <c r="I286" i="1" s="1"/>
  <c r="G285" i="1"/>
  <c r="I285" i="1" s="1"/>
  <c r="G284" i="1"/>
  <c r="I284" i="1" s="1"/>
  <c r="G283" i="1"/>
  <c r="I283" i="1" s="1"/>
  <c r="G282" i="1"/>
  <c r="I282" i="1" s="1"/>
  <c r="G281" i="1"/>
  <c r="I281" i="1" s="1"/>
  <c r="G280" i="1"/>
  <c r="I280" i="1" s="1"/>
  <c r="G279" i="1"/>
  <c r="I279" i="1" s="1"/>
  <c r="G278" i="1"/>
  <c r="I278" i="1" s="1"/>
  <c r="G277" i="1"/>
  <c r="I277" i="1" s="1"/>
  <c r="G276" i="1"/>
  <c r="I276" i="1" s="1"/>
  <c r="G275" i="1"/>
  <c r="I275" i="1" s="1"/>
  <c r="G274" i="1"/>
  <c r="I274" i="1" s="1"/>
  <c r="G273" i="1"/>
  <c r="I273" i="1" s="1"/>
  <c r="G272" i="1"/>
  <c r="I272" i="1" s="1"/>
  <c r="G271" i="1"/>
  <c r="I271" i="1" s="1"/>
  <c r="G270" i="1"/>
  <c r="I270" i="1" s="1"/>
  <c r="G269" i="1"/>
  <c r="I269" i="1" s="1"/>
  <c r="G268" i="1"/>
  <c r="I268" i="1" s="1"/>
  <c r="G267" i="1"/>
  <c r="I267" i="1" s="1"/>
  <c r="G266" i="1"/>
  <c r="I266" i="1" s="1"/>
  <c r="G265" i="1"/>
  <c r="I265" i="1" s="1"/>
  <c r="G264" i="1"/>
  <c r="I264" i="1" s="1"/>
  <c r="G263" i="1"/>
  <c r="I263" i="1" s="1"/>
  <c r="G262" i="1"/>
  <c r="I262" i="1" s="1"/>
  <c r="G261" i="1"/>
  <c r="I261" i="1" s="1"/>
  <c r="G260" i="1"/>
  <c r="I260" i="1" s="1"/>
  <c r="G259" i="1"/>
  <c r="I259" i="1" s="1"/>
  <c r="G258" i="1"/>
  <c r="I258" i="1" s="1"/>
  <c r="G257" i="1"/>
  <c r="I257" i="1" s="1"/>
  <c r="G256" i="1"/>
  <c r="I256" i="1" s="1"/>
  <c r="G255" i="1"/>
  <c r="I255" i="1" s="1"/>
  <c r="G254" i="1"/>
  <c r="I254" i="1" s="1"/>
  <c r="G253" i="1"/>
  <c r="I253" i="1" s="1"/>
  <c r="G252" i="1"/>
  <c r="I252" i="1" s="1"/>
  <c r="G251" i="1"/>
  <c r="I251" i="1" s="1"/>
  <c r="G250" i="1"/>
  <c r="I250" i="1" s="1"/>
  <c r="G249" i="1"/>
  <c r="I249" i="1" s="1"/>
  <c r="G248" i="1"/>
  <c r="I248" i="1" s="1"/>
  <c r="G247" i="1"/>
  <c r="I247" i="1" s="1"/>
  <c r="G246" i="1"/>
  <c r="I246" i="1" s="1"/>
  <c r="G245" i="1"/>
  <c r="I245" i="1" s="1"/>
  <c r="G244" i="1"/>
  <c r="I244" i="1" s="1"/>
  <c r="G243" i="1"/>
  <c r="I243" i="1" s="1"/>
  <c r="G242" i="1"/>
  <c r="I242" i="1" s="1"/>
  <c r="G241" i="1"/>
  <c r="I241" i="1" s="1"/>
  <c r="G240" i="1"/>
  <c r="I240" i="1" s="1"/>
  <c r="G239" i="1"/>
  <c r="I239" i="1" s="1"/>
  <c r="G238" i="1"/>
  <c r="I238" i="1" s="1"/>
  <c r="G237" i="1"/>
  <c r="I237" i="1" s="1"/>
  <c r="G236" i="1"/>
  <c r="I236" i="1" s="1"/>
  <c r="G235" i="1"/>
  <c r="I235" i="1" s="1"/>
  <c r="G234" i="1"/>
  <c r="I234" i="1" s="1"/>
  <c r="G233" i="1"/>
  <c r="I233" i="1" s="1"/>
  <c r="G232" i="1"/>
  <c r="I232" i="1" s="1"/>
  <c r="G231" i="1"/>
  <c r="I231" i="1" s="1"/>
  <c r="G230" i="1"/>
  <c r="I230" i="1" s="1"/>
  <c r="G229" i="1"/>
  <c r="I229" i="1" s="1"/>
  <c r="G228" i="1"/>
  <c r="I228" i="1" s="1"/>
  <c r="G227" i="1"/>
  <c r="I227" i="1" s="1"/>
  <c r="G226" i="1"/>
  <c r="I226" i="1" s="1"/>
  <c r="G225" i="1"/>
  <c r="I225" i="1" s="1"/>
  <c r="G224" i="1"/>
  <c r="I224" i="1" s="1"/>
  <c r="G223" i="1"/>
  <c r="I223" i="1" s="1"/>
  <c r="G222" i="1"/>
  <c r="I222" i="1" s="1"/>
  <c r="G201" i="1"/>
  <c r="I201" i="1" s="1"/>
  <c r="G200" i="1"/>
  <c r="I200" i="1" s="1"/>
  <c r="G199" i="1"/>
  <c r="I199" i="1" s="1"/>
  <c r="G198" i="1"/>
  <c r="I198" i="1" s="1"/>
  <c r="G197" i="1"/>
  <c r="I197" i="1" s="1"/>
  <c r="G196" i="1"/>
  <c r="I196" i="1" s="1"/>
  <c r="G195" i="1"/>
  <c r="I195" i="1" s="1"/>
  <c r="G194" i="1"/>
  <c r="I194" i="1" s="1"/>
  <c r="G193" i="1"/>
  <c r="I193" i="1" s="1"/>
  <c r="G192" i="1"/>
  <c r="I192" i="1" s="1"/>
  <c r="G191" i="1"/>
  <c r="I191" i="1" s="1"/>
  <c r="G190" i="1"/>
  <c r="I190" i="1" s="1"/>
  <c r="G189" i="1"/>
  <c r="I189" i="1" s="1"/>
  <c r="G188" i="1"/>
  <c r="I188" i="1" s="1"/>
  <c r="G187" i="1"/>
  <c r="I187" i="1" s="1"/>
  <c r="G186" i="1"/>
  <c r="I186" i="1" s="1"/>
  <c r="G185" i="1"/>
  <c r="I185" i="1" s="1"/>
  <c r="G184" i="1"/>
  <c r="I184" i="1" s="1"/>
  <c r="G183" i="1"/>
  <c r="I183" i="1" s="1"/>
  <c r="G182" i="1"/>
  <c r="I182" i="1" s="1"/>
  <c r="G181" i="1"/>
  <c r="I181" i="1" s="1"/>
  <c r="G180" i="1"/>
  <c r="I180" i="1" s="1"/>
  <c r="G179" i="1"/>
  <c r="I179" i="1" s="1"/>
  <c r="G178" i="1"/>
  <c r="I178" i="1" s="1"/>
  <c r="G177" i="1"/>
  <c r="I177" i="1" s="1"/>
  <c r="G176" i="1"/>
  <c r="I176" i="1" s="1"/>
  <c r="G175" i="1"/>
  <c r="I175" i="1" s="1"/>
  <c r="G174" i="1"/>
  <c r="I174" i="1" s="1"/>
  <c r="G173" i="1"/>
  <c r="I173" i="1" s="1"/>
  <c r="G172" i="1"/>
  <c r="I172" i="1" s="1"/>
  <c r="G171" i="1"/>
  <c r="I171" i="1" s="1"/>
  <c r="G170" i="1"/>
  <c r="I170" i="1" s="1"/>
  <c r="G169" i="1"/>
  <c r="I169" i="1" s="1"/>
  <c r="G168" i="1"/>
  <c r="I168" i="1" s="1"/>
  <c r="G167" i="1"/>
  <c r="I167" i="1" s="1"/>
  <c r="G166" i="1"/>
  <c r="I166" i="1" s="1"/>
  <c r="G165" i="1"/>
  <c r="I165" i="1" s="1"/>
  <c r="G164" i="1"/>
  <c r="I164" i="1" s="1"/>
  <c r="G163" i="1"/>
  <c r="I163" i="1" s="1"/>
  <c r="G162" i="1"/>
  <c r="I162" i="1" s="1"/>
  <c r="G161" i="1"/>
  <c r="I161" i="1" s="1"/>
  <c r="G160" i="1"/>
  <c r="I160" i="1" s="1"/>
  <c r="G159" i="1"/>
  <c r="I159" i="1" s="1"/>
  <c r="G158" i="1"/>
  <c r="I158" i="1" s="1"/>
  <c r="G157" i="1"/>
  <c r="I157" i="1" s="1"/>
  <c r="G156" i="1"/>
  <c r="I156" i="1" s="1"/>
  <c r="G155" i="1"/>
  <c r="I155" i="1" s="1"/>
  <c r="G154" i="1"/>
  <c r="I154" i="1" s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I143" i="1" s="1"/>
  <c r="G142" i="1"/>
  <c r="I142" i="1" s="1"/>
  <c r="G141" i="1"/>
  <c r="I141" i="1" s="1"/>
  <c r="G140" i="1"/>
  <c r="I140" i="1" s="1"/>
  <c r="G139" i="1"/>
  <c r="I139" i="1" s="1"/>
  <c r="G138" i="1"/>
  <c r="I138" i="1" s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18" i="1"/>
  <c r="I118" i="1" s="1"/>
  <c r="G117" i="1"/>
  <c r="I117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G106" i="1"/>
  <c r="I106" i="1" s="1"/>
  <c r="G105" i="1"/>
  <c r="I105" i="1" s="1"/>
  <c r="G104" i="1"/>
  <c r="I104" i="1" s="1"/>
  <c r="G103" i="1"/>
  <c r="I103" i="1" s="1"/>
  <c r="G102" i="1"/>
  <c r="I102" i="1" s="1"/>
  <c r="G81" i="1"/>
  <c r="I81" i="1" s="1"/>
  <c r="G80" i="1"/>
  <c r="I80" i="1" s="1"/>
  <c r="G79" i="1"/>
  <c r="I79" i="1" s="1"/>
  <c r="G78" i="1"/>
  <c r="I78" i="1" s="1"/>
  <c r="G77" i="1"/>
  <c r="I77" i="1" s="1"/>
  <c r="G76" i="1"/>
  <c r="I7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G2" i="1"/>
  <c r="I2" i="1" s="1"/>
  <c r="G61" i="1"/>
  <c r="I61" i="1" s="1"/>
  <c r="G60" i="1"/>
  <c r="I60" i="1" s="1"/>
  <c r="G59" i="1"/>
  <c r="I59" i="1" s="1"/>
  <c r="G58" i="1"/>
  <c r="I58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5" i="1"/>
  <c r="I45" i="1" s="1"/>
  <c r="G44" i="1"/>
  <c r="I44" i="1" s="1"/>
  <c r="G43" i="1"/>
  <c r="I43" i="1" s="1"/>
  <c r="G42" i="1"/>
  <c r="I42" i="1" s="1"/>
  <c r="G681" i="1"/>
  <c r="I681" i="1" s="1"/>
  <c r="G680" i="1"/>
  <c r="I680" i="1" s="1"/>
  <c r="G679" i="1"/>
  <c r="I679" i="1" s="1"/>
  <c r="G678" i="1"/>
  <c r="I678" i="1" s="1"/>
  <c r="G677" i="1"/>
  <c r="I677" i="1" s="1"/>
  <c r="G676" i="1"/>
  <c r="I676" i="1" s="1"/>
  <c r="G675" i="1"/>
  <c r="I675" i="1" s="1"/>
  <c r="G674" i="1"/>
  <c r="I674" i="1" s="1"/>
  <c r="G673" i="1"/>
  <c r="I673" i="1" s="1"/>
  <c r="G672" i="1"/>
  <c r="I672" i="1" s="1"/>
  <c r="G671" i="1"/>
  <c r="I671" i="1" s="1"/>
  <c r="G670" i="1"/>
  <c r="I670" i="1" s="1"/>
  <c r="G669" i="1"/>
  <c r="I669" i="1" s="1"/>
  <c r="G668" i="1"/>
  <c r="I668" i="1" s="1"/>
  <c r="G667" i="1"/>
  <c r="I667" i="1" s="1"/>
  <c r="G666" i="1"/>
  <c r="I666" i="1" s="1"/>
  <c r="G665" i="1"/>
  <c r="I665" i="1" s="1"/>
  <c r="G664" i="1"/>
  <c r="I664" i="1" s="1"/>
  <c r="G663" i="1"/>
  <c r="I663" i="1" s="1"/>
  <c r="G662" i="1"/>
  <c r="I662" i="1" s="1"/>
  <c r="G661" i="1"/>
  <c r="I661" i="1" s="1"/>
  <c r="G660" i="1"/>
  <c r="I660" i="1" s="1"/>
  <c r="G659" i="1"/>
  <c r="I659" i="1" s="1"/>
  <c r="G658" i="1"/>
  <c r="I658" i="1" s="1"/>
  <c r="G657" i="1"/>
  <c r="I657" i="1" s="1"/>
  <c r="G656" i="1"/>
  <c r="I656" i="1" s="1"/>
  <c r="G655" i="1"/>
  <c r="I655" i="1" s="1"/>
  <c r="G654" i="1"/>
  <c r="I654" i="1" s="1"/>
  <c r="G653" i="1"/>
  <c r="I653" i="1" s="1"/>
  <c r="G652" i="1"/>
  <c r="I652" i="1" s="1"/>
  <c r="G651" i="1"/>
  <c r="I651" i="1" s="1"/>
  <c r="G650" i="1"/>
  <c r="I650" i="1" s="1"/>
  <c r="G649" i="1"/>
  <c r="I649" i="1" s="1"/>
  <c r="G648" i="1"/>
  <c r="I648" i="1" s="1"/>
  <c r="G647" i="1"/>
  <c r="I647" i="1" s="1"/>
  <c r="G646" i="1"/>
  <c r="I646" i="1" s="1"/>
  <c r="G645" i="1"/>
  <c r="I645" i="1" s="1"/>
  <c r="G644" i="1"/>
  <c r="I644" i="1" s="1"/>
  <c r="G643" i="1"/>
  <c r="I643" i="1" s="1"/>
  <c r="G642" i="1"/>
  <c r="I642" i="1" s="1"/>
  <c r="G101" i="1"/>
  <c r="I101" i="1" s="1"/>
  <c r="G100" i="1"/>
  <c r="I100" i="1" s="1"/>
  <c r="G99" i="1"/>
  <c r="I99" i="1" s="1"/>
  <c r="G98" i="1"/>
  <c r="I98" i="1" s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G90" i="1"/>
  <c r="I90" i="1" s="1"/>
  <c r="G89" i="1"/>
  <c r="I89" i="1" s="1"/>
  <c r="G88" i="1"/>
  <c r="I88" i="1" s="1"/>
  <c r="G87" i="1"/>
  <c r="I87" i="1" s="1"/>
  <c r="G86" i="1"/>
  <c r="I86" i="1" s="1"/>
  <c r="G85" i="1"/>
  <c r="I85" i="1" s="1"/>
  <c r="G84" i="1"/>
  <c r="I84" i="1" s="1"/>
  <c r="G83" i="1"/>
  <c r="I83" i="1" s="1"/>
  <c r="G82" i="1"/>
  <c r="I82" i="1" s="1"/>
  <c r="G221" i="1"/>
  <c r="I221" i="1" s="1"/>
  <c r="G220" i="1"/>
  <c r="I220" i="1" s="1"/>
  <c r="G219" i="1"/>
  <c r="I219" i="1" s="1"/>
  <c r="G218" i="1"/>
  <c r="I218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641" i="1"/>
  <c r="I641" i="1" s="1"/>
  <c r="G640" i="1"/>
  <c r="I640" i="1" s="1"/>
  <c r="G639" i="1"/>
  <c r="I639" i="1" s="1"/>
  <c r="G638" i="1"/>
  <c r="I638" i="1" s="1"/>
  <c r="G637" i="1"/>
  <c r="I637" i="1" s="1"/>
  <c r="G636" i="1"/>
  <c r="I636" i="1" s="1"/>
  <c r="G635" i="1"/>
  <c r="I635" i="1" s="1"/>
  <c r="G634" i="1"/>
  <c r="I634" i="1" s="1"/>
  <c r="G633" i="1"/>
  <c r="I633" i="1" s="1"/>
  <c r="G632" i="1"/>
  <c r="I632" i="1" s="1"/>
  <c r="G621" i="1"/>
  <c r="I621" i="1" s="1"/>
  <c r="G620" i="1"/>
  <c r="I620" i="1" s="1"/>
  <c r="G619" i="1"/>
  <c r="I619" i="1" s="1"/>
  <c r="G618" i="1"/>
  <c r="I618" i="1" s="1"/>
  <c r="G617" i="1"/>
  <c r="I617" i="1" s="1"/>
  <c r="G616" i="1"/>
  <c r="I616" i="1" s="1"/>
  <c r="G615" i="1"/>
  <c r="I615" i="1" s="1"/>
  <c r="G614" i="1"/>
  <c r="I614" i="1" s="1"/>
  <c r="G613" i="1"/>
  <c r="I613" i="1" s="1"/>
  <c r="G612" i="1"/>
  <c r="I612" i="1" s="1"/>
  <c r="G601" i="1"/>
  <c r="I601" i="1" s="1"/>
  <c r="G600" i="1"/>
  <c r="I600" i="1" s="1"/>
  <c r="G599" i="1"/>
  <c r="I599" i="1" s="1"/>
  <c r="G598" i="1"/>
  <c r="I598" i="1" s="1"/>
  <c r="G597" i="1"/>
  <c r="I597" i="1" s="1"/>
  <c r="G596" i="1"/>
  <c r="I596" i="1" s="1"/>
  <c r="G595" i="1"/>
  <c r="I595" i="1" s="1"/>
  <c r="G594" i="1"/>
  <c r="I594" i="1" s="1"/>
  <c r="G593" i="1"/>
  <c r="I593" i="1" s="1"/>
  <c r="G592" i="1"/>
  <c r="I592" i="1" s="1"/>
  <c r="G581" i="1"/>
  <c r="I581" i="1" s="1"/>
  <c r="G580" i="1"/>
  <c r="I580" i="1" s="1"/>
  <c r="G579" i="1"/>
  <c r="I579" i="1" s="1"/>
  <c r="G578" i="1"/>
  <c r="I578" i="1" s="1"/>
  <c r="G577" i="1"/>
  <c r="I577" i="1" s="1"/>
  <c r="G576" i="1"/>
  <c r="I576" i="1" s="1"/>
  <c r="G575" i="1"/>
  <c r="I575" i="1" s="1"/>
  <c r="G574" i="1"/>
  <c r="I574" i="1" s="1"/>
  <c r="G573" i="1"/>
  <c r="I573" i="1" s="1"/>
  <c r="G572" i="1"/>
  <c r="I572" i="1" s="1"/>
  <c r="G561" i="1"/>
  <c r="I561" i="1" s="1"/>
  <c r="G560" i="1"/>
  <c r="I560" i="1" s="1"/>
  <c r="G559" i="1"/>
  <c r="I559" i="1" s="1"/>
  <c r="G558" i="1"/>
  <c r="I558" i="1" s="1"/>
  <c r="G557" i="1"/>
  <c r="I557" i="1" s="1"/>
  <c r="G556" i="1"/>
  <c r="I556" i="1" s="1"/>
  <c r="G555" i="1"/>
  <c r="I555" i="1" s="1"/>
  <c r="G554" i="1"/>
  <c r="I554" i="1" s="1"/>
  <c r="G553" i="1"/>
  <c r="I553" i="1" s="1"/>
  <c r="G552" i="1"/>
  <c r="I552" i="1" s="1"/>
  <c r="G541" i="1"/>
  <c r="I541" i="1" s="1"/>
  <c r="G540" i="1"/>
  <c r="I540" i="1" s="1"/>
  <c r="G539" i="1"/>
  <c r="I539" i="1" s="1"/>
  <c r="G538" i="1"/>
  <c r="I538" i="1" s="1"/>
  <c r="G537" i="1"/>
  <c r="I537" i="1" s="1"/>
  <c r="G536" i="1"/>
  <c r="I536" i="1" s="1"/>
  <c r="G535" i="1"/>
  <c r="I535" i="1" s="1"/>
  <c r="G534" i="1"/>
  <c r="I534" i="1" s="1"/>
  <c r="G533" i="1"/>
  <c r="I533" i="1" s="1"/>
  <c r="G532" i="1"/>
  <c r="I532" i="1" s="1"/>
  <c r="G521" i="1"/>
  <c r="I521" i="1" s="1"/>
  <c r="G520" i="1"/>
  <c r="I520" i="1" s="1"/>
  <c r="G519" i="1"/>
  <c r="I519" i="1" s="1"/>
  <c r="G518" i="1"/>
  <c r="I518" i="1" s="1"/>
  <c r="G517" i="1"/>
  <c r="I517" i="1" s="1"/>
  <c r="G516" i="1"/>
  <c r="I516" i="1" s="1"/>
  <c r="G515" i="1"/>
  <c r="I515" i="1" s="1"/>
  <c r="G514" i="1"/>
  <c r="I514" i="1" s="1"/>
  <c r="G513" i="1"/>
  <c r="I513" i="1" s="1"/>
  <c r="G512" i="1"/>
  <c r="I512" i="1" s="1"/>
  <c r="G501" i="1"/>
  <c r="I501" i="1" s="1"/>
  <c r="G500" i="1"/>
  <c r="I500" i="1" s="1"/>
  <c r="G499" i="1"/>
  <c r="I499" i="1" s="1"/>
  <c r="G498" i="1"/>
  <c r="I498" i="1" s="1"/>
  <c r="G497" i="1"/>
  <c r="I497" i="1" s="1"/>
  <c r="G496" i="1"/>
  <c r="I496" i="1" s="1"/>
  <c r="G495" i="1"/>
  <c r="I495" i="1" s="1"/>
  <c r="G494" i="1"/>
  <c r="I494" i="1" s="1"/>
  <c r="G493" i="1"/>
  <c r="I493" i="1" s="1"/>
  <c r="G492" i="1"/>
  <c r="I492" i="1" s="1"/>
  <c r="G481" i="1"/>
  <c r="I481" i="1" s="1"/>
  <c r="G480" i="1"/>
  <c r="I480" i="1" s="1"/>
  <c r="G479" i="1"/>
  <c r="I479" i="1" s="1"/>
  <c r="G478" i="1"/>
  <c r="I478" i="1" s="1"/>
  <c r="G477" i="1"/>
  <c r="I477" i="1" s="1"/>
  <c r="G476" i="1"/>
  <c r="I476" i="1" s="1"/>
  <c r="G475" i="1"/>
  <c r="I475" i="1" s="1"/>
  <c r="G474" i="1"/>
  <c r="I474" i="1" s="1"/>
  <c r="G473" i="1"/>
  <c r="I473" i="1" s="1"/>
  <c r="G472" i="1"/>
  <c r="I472" i="1" s="1"/>
  <c r="G461" i="1"/>
  <c r="I461" i="1" s="1"/>
  <c r="G460" i="1"/>
  <c r="I460" i="1" s="1"/>
  <c r="G459" i="1"/>
  <c r="I459" i="1" s="1"/>
  <c r="G458" i="1"/>
  <c r="I458" i="1" s="1"/>
  <c r="G457" i="1"/>
  <c r="I457" i="1" s="1"/>
  <c r="G456" i="1"/>
  <c r="I456" i="1" s="1"/>
  <c r="G455" i="1"/>
  <c r="I455" i="1" s="1"/>
  <c r="G454" i="1"/>
  <c r="I454" i="1" s="1"/>
  <c r="G453" i="1"/>
  <c r="I453" i="1" s="1"/>
  <c r="G452" i="1"/>
  <c r="I452" i="1" s="1"/>
  <c r="G441" i="1"/>
  <c r="I441" i="1" s="1"/>
  <c r="G440" i="1"/>
  <c r="I440" i="1" s="1"/>
  <c r="G439" i="1"/>
  <c r="I439" i="1" s="1"/>
  <c r="G438" i="1"/>
  <c r="I438" i="1" s="1"/>
  <c r="G437" i="1"/>
  <c r="I437" i="1" s="1"/>
  <c r="G436" i="1"/>
  <c r="I436" i="1" s="1"/>
  <c r="G435" i="1"/>
  <c r="I435" i="1" s="1"/>
  <c r="G434" i="1"/>
  <c r="I434" i="1" s="1"/>
  <c r="G433" i="1"/>
  <c r="I433" i="1" s="1"/>
  <c r="G432" i="1"/>
  <c r="I432" i="1" s="1"/>
  <c r="G421" i="1"/>
  <c r="I421" i="1" s="1"/>
  <c r="G420" i="1"/>
  <c r="I420" i="1" s="1"/>
  <c r="G419" i="1"/>
  <c r="I419" i="1" s="1"/>
  <c r="G418" i="1"/>
  <c r="I418" i="1" s="1"/>
  <c r="G417" i="1"/>
  <c r="I417" i="1" s="1"/>
  <c r="G416" i="1"/>
  <c r="I416" i="1" s="1"/>
  <c r="G415" i="1"/>
  <c r="I415" i="1" s="1"/>
  <c r="G414" i="1"/>
  <c r="I414" i="1" s="1"/>
  <c r="G413" i="1"/>
  <c r="I413" i="1" s="1"/>
  <c r="G412" i="1"/>
  <c r="I412" i="1" s="1"/>
  <c r="G401" i="1"/>
  <c r="I401" i="1" s="1"/>
  <c r="G400" i="1"/>
  <c r="I400" i="1" s="1"/>
  <c r="G399" i="1"/>
  <c r="I399" i="1" s="1"/>
  <c r="G398" i="1"/>
  <c r="I398" i="1" s="1"/>
  <c r="G397" i="1"/>
  <c r="I397" i="1" s="1"/>
  <c r="G396" i="1"/>
  <c r="I396" i="1" s="1"/>
  <c r="G395" i="1"/>
  <c r="I395" i="1" s="1"/>
  <c r="G394" i="1"/>
  <c r="I394" i="1" s="1"/>
  <c r="G393" i="1"/>
  <c r="I393" i="1" s="1"/>
  <c r="G392" i="1"/>
  <c r="I392" i="1" s="1"/>
  <c r="G391" i="1"/>
  <c r="I391" i="1" s="1"/>
  <c r="G390" i="1"/>
  <c r="I390" i="1" s="1"/>
  <c r="G389" i="1"/>
  <c r="I389" i="1" s="1"/>
  <c r="G388" i="1"/>
  <c r="I388" i="1" s="1"/>
  <c r="G387" i="1"/>
  <c r="I387" i="1" s="1"/>
  <c r="G386" i="1"/>
  <c r="I386" i="1" s="1"/>
  <c r="G385" i="1"/>
  <c r="I385" i="1" s="1"/>
  <c r="G384" i="1"/>
  <c r="I384" i="1" s="1"/>
  <c r="G383" i="1"/>
  <c r="I383" i="1" s="1"/>
  <c r="G382" i="1"/>
  <c r="I382" i="1" s="1"/>
  <c r="G411" i="1"/>
  <c r="I411" i="1" s="1"/>
  <c r="G410" i="1"/>
  <c r="I410" i="1" s="1"/>
  <c r="G409" i="1"/>
  <c r="I409" i="1" s="1"/>
  <c r="G408" i="1"/>
  <c r="I408" i="1" s="1"/>
  <c r="G407" i="1"/>
  <c r="I407" i="1" s="1"/>
  <c r="G406" i="1"/>
  <c r="I406" i="1" s="1"/>
  <c r="G405" i="1"/>
  <c r="I405" i="1" s="1"/>
  <c r="G404" i="1"/>
  <c r="I404" i="1" s="1"/>
  <c r="G403" i="1"/>
  <c r="I403" i="1" s="1"/>
  <c r="G402" i="1"/>
  <c r="I402" i="1" s="1"/>
  <c r="G431" i="1"/>
  <c r="I431" i="1" s="1"/>
  <c r="G430" i="1"/>
  <c r="I430" i="1" s="1"/>
  <c r="G429" i="1"/>
  <c r="I429" i="1" s="1"/>
  <c r="G428" i="1"/>
  <c r="I428" i="1" s="1"/>
  <c r="G427" i="1"/>
  <c r="I427" i="1" s="1"/>
  <c r="G426" i="1"/>
  <c r="I426" i="1" s="1"/>
  <c r="G425" i="1"/>
  <c r="I425" i="1" s="1"/>
  <c r="G424" i="1"/>
  <c r="I424" i="1" s="1"/>
  <c r="G423" i="1"/>
  <c r="I423" i="1" s="1"/>
  <c r="G422" i="1"/>
  <c r="I422" i="1" s="1"/>
  <c r="G451" i="1"/>
  <c r="I451" i="1" s="1"/>
  <c r="G450" i="1"/>
  <c r="I450" i="1" s="1"/>
  <c r="G449" i="1"/>
  <c r="I449" i="1" s="1"/>
  <c r="G448" i="1"/>
  <c r="I448" i="1" s="1"/>
  <c r="G447" i="1"/>
  <c r="I447" i="1" s="1"/>
  <c r="G446" i="1"/>
  <c r="I446" i="1" s="1"/>
  <c r="G445" i="1"/>
  <c r="I445" i="1" s="1"/>
  <c r="G444" i="1"/>
  <c r="I444" i="1" s="1"/>
  <c r="G443" i="1"/>
  <c r="I443" i="1" s="1"/>
  <c r="G442" i="1"/>
  <c r="I442" i="1" s="1"/>
  <c r="G471" i="1"/>
  <c r="I471" i="1" s="1"/>
  <c r="G470" i="1"/>
  <c r="I470" i="1" s="1"/>
  <c r="G469" i="1"/>
  <c r="I469" i="1" s="1"/>
  <c r="G468" i="1"/>
  <c r="I468" i="1" s="1"/>
  <c r="G467" i="1"/>
  <c r="I467" i="1" s="1"/>
  <c r="G466" i="1"/>
  <c r="I466" i="1" s="1"/>
  <c r="G465" i="1"/>
  <c r="I465" i="1" s="1"/>
  <c r="G464" i="1"/>
  <c r="I464" i="1" s="1"/>
  <c r="G463" i="1"/>
  <c r="I463" i="1" s="1"/>
  <c r="G462" i="1"/>
  <c r="I462" i="1" s="1"/>
  <c r="G491" i="1"/>
  <c r="I491" i="1" s="1"/>
  <c r="G490" i="1"/>
  <c r="I490" i="1" s="1"/>
  <c r="G489" i="1"/>
  <c r="I489" i="1" s="1"/>
  <c r="G488" i="1"/>
  <c r="I488" i="1" s="1"/>
  <c r="G487" i="1"/>
  <c r="I487" i="1" s="1"/>
  <c r="G486" i="1"/>
  <c r="I486" i="1" s="1"/>
  <c r="G485" i="1"/>
  <c r="I485" i="1" s="1"/>
  <c r="G484" i="1"/>
  <c r="I484" i="1" s="1"/>
  <c r="G483" i="1"/>
  <c r="I483" i="1" s="1"/>
  <c r="G482" i="1"/>
  <c r="I482" i="1" s="1"/>
  <c r="G511" i="1"/>
  <c r="I511" i="1" s="1"/>
  <c r="G510" i="1"/>
  <c r="I510" i="1" s="1"/>
  <c r="G509" i="1"/>
  <c r="I509" i="1" s="1"/>
  <c r="G508" i="1"/>
  <c r="I508" i="1" s="1"/>
  <c r="G507" i="1"/>
  <c r="I507" i="1" s="1"/>
  <c r="G506" i="1"/>
  <c r="I506" i="1" s="1"/>
  <c r="G505" i="1"/>
  <c r="I505" i="1" s="1"/>
  <c r="G504" i="1"/>
  <c r="I504" i="1" s="1"/>
  <c r="G503" i="1"/>
  <c r="I503" i="1" s="1"/>
  <c r="G502" i="1"/>
  <c r="I502" i="1" s="1"/>
  <c r="G531" i="1"/>
  <c r="I531" i="1" s="1"/>
  <c r="G530" i="1"/>
  <c r="I530" i="1" s="1"/>
  <c r="G529" i="1"/>
  <c r="I529" i="1" s="1"/>
  <c r="G528" i="1"/>
  <c r="I528" i="1" s="1"/>
  <c r="G527" i="1"/>
  <c r="I527" i="1" s="1"/>
  <c r="G526" i="1"/>
  <c r="I526" i="1" s="1"/>
  <c r="G525" i="1"/>
  <c r="I525" i="1" s="1"/>
  <c r="G524" i="1"/>
  <c r="I524" i="1" s="1"/>
  <c r="G523" i="1"/>
  <c r="I523" i="1" s="1"/>
  <c r="G522" i="1"/>
  <c r="I522" i="1" s="1"/>
  <c r="G551" i="1"/>
  <c r="I551" i="1" s="1"/>
  <c r="G550" i="1"/>
  <c r="I550" i="1" s="1"/>
  <c r="G549" i="1"/>
  <c r="I549" i="1" s="1"/>
  <c r="G548" i="1"/>
  <c r="I548" i="1" s="1"/>
  <c r="G547" i="1"/>
  <c r="I547" i="1" s="1"/>
  <c r="G546" i="1"/>
  <c r="I546" i="1" s="1"/>
  <c r="G545" i="1"/>
  <c r="I545" i="1" s="1"/>
  <c r="G544" i="1"/>
  <c r="I544" i="1" s="1"/>
  <c r="G543" i="1"/>
  <c r="I543" i="1" s="1"/>
  <c r="G542" i="1"/>
  <c r="I542" i="1" s="1"/>
  <c r="G571" i="1"/>
  <c r="I571" i="1" s="1"/>
  <c r="G570" i="1"/>
  <c r="I570" i="1" s="1"/>
  <c r="G569" i="1"/>
  <c r="I569" i="1" s="1"/>
  <c r="G568" i="1"/>
  <c r="I568" i="1" s="1"/>
  <c r="G567" i="1"/>
  <c r="I567" i="1" s="1"/>
  <c r="G566" i="1"/>
  <c r="I566" i="1" s="1"/>
  <c r="G565" i="1"/>
  <c r="I565" i="1" s="1"/>
  <c r="G564" i="1"/>
  <c r="I564" i="1" s="1"/>
  <c r="G563" i="1"/>
  <c r="I563" i="1" s="1"/>
  <c r="G562" i="1"/>
  <c r="I562" i="1" s="1"/>
  <c r="G584" i="1"/>
  <c r="I584" i="1" s="1"/>
  <c r="G585" i="1"/>
  <c r="I585" i="1" s="1"/>
  <c r="G586" i="1"/>
  <c r="I586" i="1" s="1"/>
  <c r="G587" i="1"/>
  <c r="I587" i="1" s="1"/>
  <c r="G588" i="1"/>
  <c r="I588" i="1" s="1"/>
  <c r="G589" i="1"/>
  <c r="I589" i="1" s="1"/>
  <c r="G590" i="1"/>
  <c r="I590" i="1" s="1"/>
  <c r="G591" i="1"/>
  <c r="I591" i="1" s="1"/>
  <c r="G583" i="1"/>
  <c r="I583" i="1" s="1"/>
  <c r="G582" i="1"/>
  <c r="I582" i="1" s="1"/>
  <c r="G622" i="1"/>
  <c r="I622" i="1" s="1"/>
  <c r="G623" i="1"/>
  <c r="I623" i="1" s="1"/>
  <c r="G624" i="1"/>
  <c r="I624" i="1" s="1"/>
  <c r="G625" i="1"/>
  <c r="I625" i="1" s="1"/>
  <c r="G626" i="1"/>
  <c r="I626" i="1" s="1"/>
  <c r="G627" i="1"/>
  <c r="I627" i="1" s="1"/>
  <c r="G628" i="1"/>
  <c r="I628" i="1" s="1"/>
  <c r="G629" i="1"/>
  <c r="I629" i="1" s="1"/>
  <c r="G630" i="1"/>
  <c r="I630" i="1" s="1"/>
  <c r="G631" i="1"/>
  <c r="I631" i="1" s="1"/>
  <c r="G603" i="1"/>
  <c r="I603" i="1" s="1"/>
  <c r="G604" i="1"/>
  <c r="I604" i="1" s="1"/>
  <c r="G605" i="1"/>
  <c r="I605" i="1" s="1"/>
  <c r="G606" i="1"/>
  <c r="I606" i="1" s="1"/>
  <c r="G607" i="1"/>
  <c r="I607" i="1" s="1"/>
  <c r="G608" i="1"/>
  <c r="I608" i="1" s="1"/>
  <c r="G609" i="1"/>
  <c r="I609" i="1" s="1"/>
  <c r="G610" i="1"/>
  <c r="I610" i="1" s="1"/>
  <c r="G611" i="1"/>
  <c r="I611" i="1" s="1"/>
  <c r="G602" i="1"/>
  <c r="I602" i="1" s="1"/>
</calcChain>
</file>

<file path=xl/sharedStrings.xml><?xml version="1.0" encoding="utf-8"?>
<sst xmlns="http://schemas.openxmlformats.org/spreadsheetml/2006/main" count="1654" uniqueCount="116">
  <si>
    <t>Etiquetas de fila</t>
  </si>
  <si>
    <t>Total general</t>
  </si>
  <si>
    <t>Fecha</t>
  </si>
  <si>
    <t>Lista</t>
  </si>
  <si>
    <t>Nacional</t>
  </si>
  <si>
    <t>Posición</t>
  </si>
  <si>
    <t>Canción</t>
  </si>
  <si>
    <t>Valor</t>
  </si>
  <si>
    <t>Suma de Valor</t>
  </si>
  <si>
    <t>Alexander Abreu &amp; Velito el bufón - Silencio (Remix)</t>
  </si>
  <si>
    <t>Cimafunk &amp; Monsieur Periné - Catalina</t>
  </si>
  <si>
    <t>Charly &amp; Johayron &amp; Baby Cortés &amp; Ernesto Losa - La Persona Correcta</t>
  </si>
  <si>
    <t>David Calzado Y Su Charanga Habanera - Los Besos Que Te Di</t>
  </si>
  <si>
    <t>Alain Pérez - La Lámpara</t>
  </si>
  <si>
    <t>Wil Campa - La Vida Bailando</t>
  </si>
  <si>
    <t>Gitanos - Fiestando</t>
  </si>
  <si>
    <t>Elito Revé Y Su Charangón &amp; El Dray - El WhatsApp</t>
  </si>
  <si>
    <t>Manolin El Medico de la Salsa &amp; Formula B - La Calentura</t>
  </si>
  <si>
    <t>Lenier &amp; Nacho - Asi Como Yo</t>
  </si>
  <si>
    <t xml:space="preserve">Divan &amp; Ernesto Losa - No Te Instales </t>
  </si>
  <si>
    <t>Charanga Latina &amp; Joseito CG - Dile Al Amor</t>
  </si>
  <si>
    <t>Leoni Torres &amp; Eddy K &amp; Mauro El Codigo Secreto - El Amor Que Espere</t>
  </si>
  <si>
    <t>La India &amp; Jacob Forever - Fuera Fuera</t>
  </si>
  <si>
    <t>Bryan Sanchez - Cuéntale</t>
  </si>
  <si>
    <t>Wil Campa - Las Redes</t>
  </si>
  <si>
    <t>Formell y Los Van Van - Bla, Bla, Bla</t>
  </si>
  <si>
    <t>Diana Fuentes - La Vida Es Buena</t>
  </si>
  <si>
    <t>Moa Rivera &amp; Lenier - Fue Culpa De Usted</t>
  </si>
  <si>
    <t xml:space="preserve">Los 4 - Nada Sin Ti </t>
  </si>
  <si>
    <t>Internacional</t>
  </si>
  <si>
    <t xml:space="preserve">Dua Lipa - Illusion </t>
  </si>
  <si>
    <t>KAROL G - Si Antes Te Hubiera Conocido</t>
  </si>
  <si>
    <t>Katy Perry - LIFETIMES</t>
  </si>
  <si>
    <t>Sabrina Carpenter - Espresso</t>
  </si>
  <si>
    <t>Kapo - Ohnana</t>
  </si>
  <si>
    <t>Manuel Turizo - Enhorabuena</t>
  </si>
  <si>
    <t>Feid &amp; ATL Jacob - LUNA</t>
  </si>
  <si>
    <t>Lexa - Necessito</t>
  </si>
  <si>
    <t>Luck Ra &amp; Maluma &amp; KHEA - HOLA PERDIDA REMIX</t>
  </si>
  <si>
    <t>Becky Hill - Outside Of Love</t>
  </si>
  <si>
    <t>Sevdaliza &amp; Pabllo Vittar &amp; Yseult - Alibi</t>
  </si>
  <si>
    <t>Camilo &amp; Alexander Abreu &amp; Havana D'Primera - Sálvame</t>
  </si>
  <si>
    <t>Rauw Alejandro - Touching The Sky</t>
  </si>
  <si>
    <t>Katy Perry - Woman's World</t>
  </si>
  <si>
    <t>Shakira &amp; Cardi B - Puntería</t>
  </si>
  <si>
    <t>Taylor Swift &amp; Post Malone - Fortnight (CYRIL REMIX)</t>
  </si>
  <si>
    <t>Marc Anthony - Ale Ale</t>
  </si>
  <si>
    <t>Luis Fonsi &amp; Laura Pausini - Roma</t>
  </si>
  <si>
    <t>Pharrell Williams &amp; Miley Cyrus - Doctor (Work It Out)</t>
  </si>
  <si>
    <t>Benson Boone - Beautiful Things</t>
  </si>
  <si>
    <t>Kygo &amp; Ava Max - Whatever</t>
  </si>
  <si>
    <t>KAROL G &amp; Tiësto - CONTIGO</t>
  </si>
  <si>
    <t>Beyoncé - TEXAS HOLD 'EM</t>
  </si>
  <si>
    <t xml:space="preserve">Camilo &amp; Carin Leon - Una Vida Pasada </t>
  </si>
  <si>
    <t>Papushi - Te Digo Adiós (Cumbia)</t>
  </si>
  <si>
    <t>Formell y Los Van Van - Modo Van Van</t>
  </si>
  <si>
    <t>Charly &amp; Johayron y Ernesto Losa - Una copia de mí</t>
  </si>
  <si>
    <t>Alexander Abreu y Habana D Primera - La chica del escenario</t>
  </si>
  <si>
    <t>Son Dos y Formell y los Van Van - Bailando con los Van Van</t>
  </si>
  <si>
    <t>Paulo FG - La mano de Orula</t>
  </si>
  <si>
    <t>Marc Anthony - Punta Cana</t>
  </si>
  <si>
    <t>Ozuna, David Guetta - Vocation</t>
  </si>
  <si>
    <t>Camilo, Evaluna Montaner - PLIS</t>
  </si>
  <si>
    <t>Víctor Manuelle - Otra Noche Más</t>
  </si>
  <si>
    <t>Shakira, Bizarrap - La Fuerte</t>
  </si>
  <si>
    <t>Dua Lipa - Training Season</t>
  </si>
  <si>
    <t>Ariana Grande - yes, and?</t>
  </si>
  <si>
    <t>Jennifer Lopez - Can't Get Enough</t>
  </si>
  <si>
    <t>Wil Campa - Nunca Te Olvidaré</t>
  </si>
  <si>
    <t>Havana D' Primera &amp; Gilberto Santa Rosa - Cu-Pr</t>
  </si>
  <si>
    <t>Karmen Muradas - Salsa Kuduro</t>
  </si>
  <si>
    <t>Jacob Forever, @danyome, Kevincitoel13, Gatillo - Que viva el amor</t>
  </si>
  <si>
    <t>Nesty, Diana Fuentes - Mas Que Amigos</t>
  </si>
  <si>
    <t>LiesterM, Charanga Habanera - Muerto, frito y derretido</t>
  </si>
  <si>
    <t>Dua Lipa - Houdini</t>
  </si>
  <si>
    <t>Daddy Yankee - Bonita</t>
  </si>
  <si>
    <t>Calvin Harris, Sam Smith - Desire</t>
  </si>
  <si>
    <t>KAROL G - MI EX TENÍA RAZÓN</t>
  </si>
  <si>
    <t>Aitana, Rels B - miamor</t>
  </si>
  <si>
    <t>Natti Natasha - Ya No Te Extraño</t>
  </si>
  <si>
    <t>Enrique Iglesias, Maria Becerra - ASI ES LA VIDA</t>
  </si>
  <si>
    <t>Shakira - Soltera</t>
  </si>
  <si>
    <t>Play-N-Skillz &amp; Natti Natasha &amp; Deorro - Como la flor</t>
  </si>
  <si>
    <t>Leoni Torres &amp; Guaynaa - Todo El Mundo Bailando</t>
  </si>
  <si>
    <t>Rvssian &amp; Rauw Alejandro &amp; Ayra Starr - Santa</t>
  </si>
  <si>
    <t>Conteo</t>
  </si>
  <si>
    <t>Lenier &amp; Jowell &amp; Randy - Si Tu La Ves</t>
  </si>
  <si>
    <t>Sebastián Yatra, Manuel Turizo, Beéle - VAGABUNDO</t>
  </si>
  <si>
    <t>Sia - Gimme Love</t>
  </si>
  <si>
    <t>Jason Derulo &amp; Meghan Trainor  - Hands On Me</t>
  </si>
  <si>
    <t>Bizarrap - Young Miko: Bzrp Music Sessions, Vol. 58</t>
  </si>
  <si>
    <t>Yuly y Havana C - Angel o Demonio</t>
  </si>
  <si>
    <t>Rosaliz - Mi meneo</t>
  </si>
  <si>
    <t>Wisin &amp; Pedro Capó - Himalaya</t>
  </si>
  <si>
    <t>Cimafunk - Te tengo en salsa</t>
  </si>
  <si>
    <t>Bonus</t>
  </si>
  <si>
    <t>Total</t>
  </si>
  <si>
    <t>Suma de Total</t>
  </si>
  <si>
    <t>Suma de Bonus</t>
  </si>
  <si>
    <t>Cuenta de Posición</t>
  </si>
  <si>
    <t>#1</t>
  </si>
  <si>
    <t>Top3</t>
  </si>
  <si>
    <t>Suma de #1</t>
  </si>
  <si>
    <t>Suma de Top3</t>
  </si>
  <si>
    <t>Lady Gaga &amp; Bruno Mars - Die With A Smile</t>
  </si>
  <si>
    <t>Anterior</t>
  </si>
  <si>
    <t>Delta</t>
  </si>
  <si>
    <t>Mín. de Posición</t>
  </si>
  <si>
    <t>Mín. de Delta</t>
  </si>
  <si>
    <t>Máx. de Delta</t>
  </si>
  <si>
    <t>Lenier &amp; Diana Fuentes - Y Ojalá</t>
  </si>
  <si>
    <t>Kapo - UWAIE</t>
  </si>
  <si>
    <t>ROSÉ &amp; Bruno Mars - APT.</t>
  </si>
  <si>
    <t>Charly &amp; Johayron &amp; Roberto Ferrante - Bailando Suave</t>
  </si>
  <si>
    <t>Ana Mena &amp; Emilia - CARITA TRISTE</t>
  </si>
  <si>
    <t>Hugel &amp; J Balvin &amp; Ellie Goulding &amp; Topic &amp; Arash &amp; Daecolm - I Adore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</si>
</sst>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Guerrero Montero" refreshedDate="45655.735835763888" createdVersion="8" refreshedVersion="8" minRefreshableVersion="3" recordCount="761" xr:uid="{DC4ECA65-B59C-4D7D-938F-A8F120C7FE81}">
  <cacheSource type="worksheet">
    <worksheetSource ref="A1:I1048576" sheet="Data"/>
  </cacheSource>
  <cacheFields count="9">
    <cacheField name="Conteo" numFmtId="0">
      <sharedItems containsString="0" containsBlank="1" containsNumber="1" containsInteger="1" minValue="1" maxValue="40"/>
    </cacheField>
    <cacheField name="Fecha" numFmtId="0">
      <sharedItems containsNonDate="0" containsDate="1" containsString="0" containsBlank="1" minDate="2024-01-14T00:00:00" maxDate="2024-12-30T00:00:00"/>
    </cacheField>
    <cacheField name="Lista" numFmtId="0">
      <sharedItems containsBlank="1" count="3">
        <s v="Nacional"/>
        <s v="Internacional"/>
        <m/>
      </sharedItems>
    </cacheField>
    <cacheField name="Posición" numFmtId="0">
      <sharedItems containsString="0" containsBlank="1" containsNumber="1" containsInteger="1" minValue="1" maxValue="10"/>
    </cacheField>
    <cacheField name="Anterior" numFmtId="0">
      <sharedItems containsString="0" containsBlank="1" containsNumber="1" containsInteger="1" minValue="1" maxValue="11"/>
    </cacheField>
    <cacheField name="Canción" numFmtId="0">
      <sharedItems containsBlank="1" count="92">
        <s v="Jacob Forever, @danyome, Kevincitoel13, Gatillo - Que viva el amor"/>
        <s v="Havana D' Primera &amp; Gilberto Santa Rosa - Cu-Pr"/>
        <s v="Wil Campa - Nunca Te Olvidaré"/>
        <s v="Charly &amp; Johayron y Ernesto Losa - Una copia de mí"/>
        <s v="Karmen Muradas - Salsa Kuduro"/>
        <s v="Nesty, Diana Fuentes - Mas Que Amigos"/>
        <s v="LiesterM, Charanga Habanera - Muerto, frito y derretido"/>
        <s v="Lenier &amp; Jowell &amp; Randy - Si Tu La Ves"/>
        <s v="Leoni Torres &amp; Eddy K &amp; Mauro El Codigo Secreto - El Amor Que Espere"/>
        <s v="Formell y Los Van Van - Modo Van Van"/>
        <s v="Dua Lipa - Houdini"/>
        <s v="KAROL G - MI EX TENÍA RAZÓN"/>
        <s v="Daddy Yankee - Bonita"/>
        <s v="Enrique Iglesias, Maria Becerra - ASI ES LA VIDA"/>
        <s v="Sebastián Yatra, Manuel Turizo, Beéle - VAGABUNDO"/>
        <s v="Ozuna, David Guetta - Vocation"/>
        <s v="Sia - Gimme Love"/>
        <s v="Aitana, Rels B - miamor"/>
        <s v="Jason Derulo &amp; Meghan Trainor  - Hands On Me"/>
        <s v="Natti Natasha - Ya No Te Extraño"/>
        <s v="Papushi - Te Digo Adiós (Cumbia)"/>
        <s v="Bryan Sanchez - Cuéntale"/>
        <s v="Calvin Harris, Sam Smith - Desire"/>
        <s v="Bizarrap - Young Miko: Bzrp Music Sessions, Vol. 58"/>
        <s v="Diana Fuentes - La Vida Es Buena"/>
        <s v="Ariana Grande - yes, and?"/>
        <s v="Jennifer Lopez - Can't Get Enough"/>
        <s v="Yuly y Havana C - Angel o Demonio"/>
        <s v="Charanga Latina &amp; Joseito CG - Dile Al Amor"/>
        <s v="Rosaliz - Mi meneo"/>
        <s v="Alexander Abreu y Habana D Primera - La chica del escenario"/>
        <s v="Wisin &amp; Pedro Capó - Himalaya"/>
        <s v="Marc Anthony - Punta Cana"/>
        <s v="KAROL G &amp; Tiësto - CONTIGO"/>
        <s v="David Calzado Y Su Charanga Habanera - Los Besos Que Te Di"/>
        <s v="Camilo, Evaluna Montaner - PLIS"/>
        <s v="Son Dos y Formell y los Van Van - Bailando con los Van Van"/>
        <s v="Víctor Manuelle - Otra Noche Más"/>
        <s v="Cimafunk - Te tengo en salsa"/>
        <s v="Moa Rivera &amp; Lenier - Fue Culpa De Usted"/>
        <s v="Paulo FG - La mano de Orula"/>
        <s v="Shakira, Bizarrap - La Fuerte"/>
        <s v="Dua Lipa - Training Season"/>
        <s v="Kygo &amp; Ava Max - Whatever"/>
        <s v="Formell y Los Van Van - Bla, Bla, Bla"/>
        <s v="Divan &amp; Ernesto Losa - No Te Instales "/>
        <s v="Feid &amp; ATL Jacob - LUNA"/>
        <s v="Shakira &amp; Cardi B - Puntería"/>
        <s v="Pharrell Williams &amp; Miley Cyrus - Doctor (Work It Out)"/>
        <s v="La India &amp; Jacob Forever - Fuera Fuera"/>
        <s v="Benson Boone - Beautiful Things"/>
        <s v="Alexander Abreu &amp; Velito el bufón - Silencio (Remix)"/>
        <s v="Beyoncé - TEXAS HOLD 'EM"/>
        <s v="Wil Campa - Las Redes"/>
        <s v="Taylor Swift &amp; Post Malone - Fortnight (CYRIL REMIX)"/>
        <s v="Marc Anthony - Ale Ale"/>
        <s v="Luis Fonsi &amp; Laura Pausini - Roma"/>
        <s v="Elito Revé Y Su Charangón &amp; El Dray - El WhatsApp"/>
        <s v="Los 4 - Nada Sin Ti "/>
        <s v="Camilo &amp; Carin Leon - Una Vida Pasada "/>
        <s v="Camilo &amp; Alexander Abreu &amp; Havana D'Primera - Sálvame"/>
        <s v="Cimafunk &amp; Monsieur Periné - Catalina"/>
        <s v="Sabrina Carpenter - Espresso"/>
        <s v="Rauw Alejandro - Touching The Sky"/>
        <s v="KAROL G - Si Antes Te Hubiera Conocido"/>
        <s v="Alain Pérez - La Lámpara"/>
        <s v="Dua Lipa - Illusion "/>
        <s v="Manolin El Medico de la Salsa &amp; Formula B - La Calentura"/>
        <s v="Becky Hill - Outside Of Love"/>
        <s v="Charly &amp; Johayron &amp; Baby Cortés &amp; Ernesto Losa - La Persona Correcta"/>
        <s v="Luck Ra &amp; Maluma &amp; KHEA - HOLA PERDIDA REMIX"/>
        <s v="Gitanos - Fiestando"/>
        <s v="Sevdaliza &amp; Pabllo Vittar &amp; Yseult - Alibi"/>
        <s v="Katy Perry - Woman's World"/>
        <s v="Wil Campa - La Vida Bailando"/>
        <s v="Katy Perry - LIFETIMES"/>
        <s v="Kapo - Ohnana"/>
        <s v="Manuel Turizo - Enhorabuena"/>
        <s v="Lenier &amp; Nacho - Asi Como Yo"/>
        <s v="Lexa - Necessito"/>
        <s v="Play-N-Skillz &amp; Natti Natasha &amp; Deorro - Como la flor"/>
        <s v="Shakira - Soltera"/>
        <s v="Leoni Torres &amp; Guaynaa - Todo El Mundo Bailando"/>
        <s v="Rvssian &amp; Rauw Alejandro &amp; Ayra Starr - Santa"/>
        <s v="Lady Gaga &amp; Bruno Mars - Die With A Smile"/>
        <s v="Lenier &amp; Diana Fuentes - Y Ojalá"/>
        <s v="ROSÉ &amp; Bruno Mars - APT."/>
        <s v="Kapo - UWAIE"/>
        <s v="Charly &amp; Johayron &amp; Roberto Ferrante - Bailando Suave"/>
        <s v="Ana Mena &amp; Emilia - CARITA TRISTE"/>
        <s v="Hugel &amp; J Balvin &amp; Ellie Goulding &amp; Topic &amp; Arash &amp; Daecolm - I Adore You"/>
        <m/>
      </sharedItems>
    </cacheField>
    <cacheField name="Valor" numFmtId="0">
      <sharedItems containsString="0" containsBlank="1" containsNumber="1" containsInteger="1" minValue="1" maxValue="10"/>
    </cacheField>
    <cacheField name="Bonus" numFmtId="0">
      <sharedItems containsString="0" containsBlank="1" containsNumber="1" containsInteger="1" minValue="0" maxValue="9"/>
    </cacheField>
    <cacheField name="Total" numFmtId="0">
      <sharedItems containsString="0" containsBlank="1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Guerrero Montero" refreshedDate="45655.735995717594" createdVersion="8" refreshedVersion="8" minRefreshableVersion="3" recordCount="761" xr:uid="{A39647C2-C537-4F3B-BE6F-FC65AB6AD4AF}">
  <cacheSource type="worksheet">
    <worksheetSource ref="A1:L1048576" sheet="Data"/>
  </cacheSource>
  <cacheFields count="12">
    <cacheField name="Conteo" numFmtId="0">
      <sharedItems containsString="0" containsBlank="1" containsNumber="1" containsInteger="1" minValue="1" maxValue="40"/>
    </cacheField>
    <cacheField name="Fecha" numFmtId="0">
      <sharedItems containsNonDate="0" containsDate="1" containsString="0" containsBlank="1" minDate="2024-01-14T00:00:00" maxDate="2024-12-30T00:00:00"/>
    </cacheField>
    <cacheField name="Lista" numFmtId="0">
      <sharedItems containsBlank="1" count="3">
        <s v="Nacional"/>
        <s v="Internacional"/>
        <m/>
      </sharedItems>
    </cacheField>
    <cacheField name="Posición" numFmtId="0">
      <sharedItems containsString="0" containsBlank="1" containsNumber="1" containsInteger="1" minValue="1" maxValue="10"/>
    </cacheField>
    <cacheField name="Anterior" numFmtId="0">
      <sharedItems containsString="0" containsBlank="1" containsNumber="1" containsInteger="1" minValue="1" maxValue="11"/>
    </cacheField>
    <cacheField name="Canción" numFmtId="0">
      <sharedItems containsBlank="1" count="92">
        <s v="Jacob Forever, @danyome, Kevincitoel13, Gatillo - Que viva el amor"/>
        <s v="Havana D' Primera &amp; Gilberto Santa Rosa - Cu-Pr"/>
        <s v="Wil Campa - Nunca Te Olvidaré"/>
        <s v="Charly &amp; Johayron y Ernesto Losa - Una copia de mí"/>
        <s v="Karmen Muradas - Salsa Kuduro"/>
        <s v="Nesty, Diana Fuentes - Mas Que Amigos"/>
        <s v="LiesterM, Charanga Habanera - Muerto, frito y derretido"/>
        <s v="Lenier &amp; Jowell &amp; Randy - Si Tu La Ves"/>
        <s v="Leoni Torres &amp; Eddy K &amp; Mauro El Codigo Secreto - El Amor Que Espere"/>
        <s v="Formell y Los Van Van - Modo Van Van"/>
        <s v="Dua Lipa - Houdini"/>
        <s v="KAROL G - MI EX TENÍA RAZÓN"/>
        <s v="Daddy Yankee - Bonita"/>
        <s v="Enrique Iglesias, Maria Becerra - ASI ES LA VIDA"/>
        <s v="Sebastián Yatra, Manuel Turizo, Beéle - VAGABUNDO"/>
        <s v="Ozuna, David Guetta - Vocation"/>
        <s v="Sia - Gimme Love"/>
        <s v="Aitana, Rels B - miamor"/>
        <s v="Jason Derulo &amp; Meghan Trainor  - Hands On Me"/>
        <s v="Natti Natasha - Ya No Te Extraño"/>
        <s v="Papushi - Te Digo Adiós (Cumbia)"/>
        <s v="Bryan Sanchez - Cuéntale"/>
        <s v="Calvin Harris, Sam Smith - Desire"/>
        <s v="Bizarrap - Young Miko: Bzrp Music Sessions, Vol. 58"/>
        <s v="Diana Fuentes - La Vida Es Buena"/>
        <s v="Ariana Grande - yes, and?"/>
        <s v="Jennifer Lopez - Can't Get Enough"/>
        <s v="Yuly y Havana C - Angel o Demonio"/>
        <s v="Charanga Latina &amp; Joseito CG - Dile Al Amor"/>
        <s v="Rosaliz - Mi meneo"/>
        <s v="Alexander Abreu y Habana D Primera - La chica del escenario"/>
        <s v="Wisin &amp; Pedro Capó - Himalaya"/>
        <s v="Marc Anthony - Punta Cana"/>
        <s v="KAROL G &amp; Tiësto - CONTIGO"/>
        <s v="David Calzado Y Su Charanga Habanera - Los Besos Que Te Di"/>
        <s v="Camilo, Evaluna Montaner - PLIS"/>
        <s v="Son Dos y Formell y los Van Van - Bailando con los Van Van"/>
        <s v="Víctor Manuelle - Otra Noche Más"/>
        <s v="Cimafunk - Te tengo en salsa"/>
        <s v="Moa Rivera &amp; Lenier - Fue Culpa De Usted"/>
        <s v="Paulo FG - La mano de Orula"/>
        <s v="Shakira, Bizarrap - La Fuerte"/>
        <s v="Dua Lipa - Training Season"/>
        <s v="Kygo &amp; Ava Max - Whatever"/>
        <s v="Formell y Los Van Van - Bla, Bla, Bla"/>
        <s v="Divan &amp; Ernesto Losa - No Te Instales "/>
        <s v="Feid &amp; ATL Jacob - LUNA"/>
        <s v="Shakira &amp; Cardi B - Puntería"/>
        <s v="Pharrell Williams &amp; Miley Cyrus - Doctor (Work It Out)"/>
        <s v="La India &amp; Jacob Forever - Fuera Fuera"/>
        <s v="Benson Boone - Beautiful Things"/>
        <s v="Alexander Abreu &amp; Velito el bufón - Silencio (Remix)"/>
        <s v="Beyoncé - TEXAS HOLD 'EM"/>
        <s v="Wil Campa - Las Redes"/>
        <s v="Taylor Swift &amp; Post Malone - Fortnight (CYRIL REMIX)"/>
        <s v="Marc Anthony - Ale Ale"/>
        <s v="Luis Fonsi &amp; Laura Pausini - Roma"/>
        <s v="Elito Revé Y Su Charangón &amp; El Dray - El WhatsApp"/>
        <s v="Los 4 - Nada Sin Ti "/>
        <s v="Camilo &amp; Carin Leon - Una Vida Pasada "/>
        <s v="Camilo &amp; Alexander Abreu &amp; Havana D'Primera - Sálvame"/>
        <s v="Cimafunk &amp; Monsieur Periné - Catalina"/>
        <s v="Sabrina Carpenter - Espresso"/>
        <s v="Rauw Alejandro - Touching The Sky"/>
        <s v="KAROL G - Si Antes Te Hubiera Conocido"/>
        <s v="Alain Pérez - La Lámpara"/>
        <s v="Dua Lipa - Illusion "/>
        <s v="Manolin El Medico de la Salsa &amp; Formula B - La Calentura"/>
        <s v="Becky Hill - Outside Of Love"/>
        <s v="Charly &amp; Johayron &amp; Baby Cortés &amp; Ernesto Losa - La Persona Correcta"/>
        <s v="Luck Ra &amp; Maluma &amp; KHEA - HOLA PERDIDA REMIX"/>
        <s v="Gitanos - Fiestando"/>
        <s v="Sevdaliza &amp; Pabllo Vittar &amp; Yseult - Alibi"/>
        <s v="Katy Perry - Woman's World"/>
        <s v="Wil Campa - La Vida Bailando"/>
        <s v="Katy Perry - LIFETIMES"/>
        <s v="Kapo - Ohnana"/>
        <s v="Manuel Turizo - Enhorabuena"/>
        <s v="Lenier &amp; Nacho - Asi Como Yo"/>
        <s v="Lexa - Necessito"/>
        <s v="Play-N-Skillz &amp; Natti Natasha &amp; Deorro - Como la flor"/>
        <s v="Shakira - Soltera"/>
        <s v="Leoni Torres &amp; Guaynaa - Todo El Mundo Bailando"/>
        <s v="Rvssian &amp; Rauw Alejandro &amp; Ayra Starr - Santa"/>
        <s v="Lady Gaga &amp; Bruno Mars - Die With A Smile"/>
        <s v="Lenier &amp; Diana Fuentes - Y Ojalá"/>
        <s v="ROSÉ &amp; Bruno Mars - APT."/>
        <s v="Kapo - UWAIE"/>
        <s v="Charly &amp; Johayron &amp; Roberto Ferrante - Bailando Suave"/>
        <s v="Ana Mena &amp; Emilia - CARITA TRISTE"/>
        <s v="Hugel &amp; J Balvin &amp; Ellie Goulding &amp; Topic &amp; Arash &amp; Daecolm - I Adore You"/>
        <m/>
      </sharedItems>
    </cacheField>
    <cacheField name="Valor" numFmtId="0">
      <sharedItems containsString="0" containsBlank="1" containsNumber="1" containsInteger="1" minValue="1" maxValue="10"/>
    </cacheField>
    <cacheField name="Bonus" numFmtId="0">
      <sharedItems containsString="0" containsBlank="1" containsNumber="1" containsInteger="1" minValue="0" maxValue="9"/>
    </cacheField>
    <cacheField name="Total" numFmtId="0">
      <sharedItems containsString="0" containsBlank="1" containsNumber="1" containsInteger="1" minValue="1" maxValue="19"/>
    </cacheField>
    <cacheField name="#1" numFmtId="0">
      <sharedItems containsString="0" containsBlank="1" containsNumber="1" containsInteger="1" minValue="0" maxValue="1"/>
    </cacheField>
    <cacheField name="Top3" numFmtId="0">
      <sharedItems containsString="0" containsBlank="1" containsNumber="1" containsInteger="1" minValue="0" maxValue="1"/>
    </cacheField>
    <cacheField name="Delta" numFmtId="0">
      <sharedItems containsString="0" containsBlank="1" containsNumber="1" containsInteger="1" minValue="-1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1">
  <r>
    <n v="1"/>
    <d v="2024-01-14T00:00:00"/>
    <x v="0"/>
    <n v="1"/>
    <n v="1"/>
    <x v="0"/>
    <n v="10"/>
    <n v="9"/>
    <n v="19"/>
  </r>
  <r>
    <n v="1"/>
    <d v="2024-01-14T00:00:00"/>
    <x v="0"/>
    <n v="2"/>
    <n v="2"/>
    <x v="1"/>
    <n v="9"/>
    <n v="7"/>
    <n v="16"/>
  </r>
  <r>
    <n v="1"/>
    <d v="2024-01-14T00:00:00"/>
    <x v="0"/>
    <n v="3"/>
    <n v="3"/>
    <x v="2"/>
    <n v="8"/>
    <n v="5"/>
    <n v="13"/>
  </r>
  <r>
    <n v="1"/>
    <d v="2024-01-14T00:00:00"/>
    <x v="0"/>
    <n v="4"/>
    <n v="11"/>
    <x v="3"/>
    <n v="7"/>
    <n v="3"/>
    <n v="10"/>
  </r>
  <r>
    <n v="1"/>
    <d v="2024-01-14T00:00:00"/>
    <x v="0"/>
    <n v="5"/>
    <n v="11"/>
    <x v="4"/>
    <n v="6"/>
    <n v="1"/>
    <n v="7"/>
  </r>
  <r>
    <n v="1"/>
    <d v="2024-01-14T00:00:00"/>
    <x v="0"/>
    <n v="6"/>
    <n v="6"/>
    <x v="5"/>
    <n v="5"/>
    <n v="0"/>
    <n v="5"/>
  </r>
  <r>
    <n v="1"/>
    <d v="2024-01-14T00:00:00"/>
    <x v="0"/>
    <n v="7"/>
    <n v="7"/>
    <x v="6"/>
    <n v="4"/>
    <n v="0"/>
    <n v="4"/>
  </r>
  <r>
    <n v="1"/>
    <d v="2024-01-14T00:00:00"/>
    <x v="0"/>
    <n v="8"/>
    <n v="8"/>
    <x v="7"/>
    <n v="3"/>
    <n v="0"/>
    <n v="3"/>
  </r>
  <r>
    <n v="1"/>
    <d v="2024-01-14T00:00:00"/>
    <x v="0"/>
    <n v="9"/>
    <n v="9"/>
    <x v="8"/>
    <n v="2"/>
    <n v="0"/>
    <n v="2"/>
  </r>
  <r>
    <n v="1"/>
    <d v="2024-01-14T00:00:00"/>
    <x v="0"/>
    <n v="10"/>
    <n v="11"/>
    <x v="9"/>
    <n v="1"/>
    <n v="0"/>
    <n v="1"/>
  </r>
  <r>
    <n v="1"/>
    <d v="2024-01-14T00:00:00"/>
    <x v="1"/>
    <n v="1"/>
    <n v="1"/>
    <x v="10"/>
    <n v="10"/>
    <n v="9"/>
    <n v="19"/>
  </r>
  <r>
    <n v="1"/>
    <d v="2024-01-14T00:00:00"/>
    <x v="1"/>
    <n v="2"/>
    <n v="2"/>
    <x v="11"/>
    <n v="9"/>
    <n v="7"/>
    <n v="16"/>
  </r>
  <r>
    <n v="1"/>
    <d v="2024-01-14T00:00:00"/>
    <x v="1"/>
    <n v="3"/>
    <n v="3"/>
    <x v="12"/>
    <n v="8"/>
    <n v="5"/>
    <n v="13"/>
  </r>
  <r>
    <n v="1"/>
    <d v="2024-01-14T00:00:00"/>
    <x v="1"/>
    <n v="4"/>
    <n v="4"/>
    <x v="13"/>
    <n v="7"/>
    <n v="3"/>
    <n v="10"/>
  </r>
  <r>
    <n v="1"/>
    <d v="2024-01-14T00:00:00"/>
    <x v="1"/>
    <n v="5"/>
    <n v="5"/>
    <x v="14"/>
    <n v="6"/>
    <n v="1"/>
    <n v="7"/>
  </r>
  <r>
    <n v="1"/>
    <d v="2024-01-14T00:00:00"/>
    <x v="1"/>
    <n v="6"/>
    <n v="11"/>
    <x v="15"/>
    <n v="5"/>
    <n v="0"/>
    <n v="5"/>
  </r>
  <r>
    <n v="1"/>
    <d v="2024-01-14T00:00:00"/>
    <x v="1"/>
    <n v="7"/>
    <n v="7"/>
    <x v="16"/>
    <n v="4"/>
    <n v="0"/>
    <n v="4"/>
  </r>
  <r>
    <n v="1"/>
    <d v="2024-01-14T00:00:00"/>
    <x v="1"/>
    <n v="8"/>
    <n v="11"/>
    <x v="17"/>
    <n v="3"/>
    <n v="0"/>
    <n v="3"/>
  </r>
  <r>
    <n v="1"/>
    <d v="2024-01-14T00:00:00"/>
    <x v="1"/>
    <n v="9"/>
    <n v="11"/>
    <x v="18"/>
    <n v="2"/>
    <n v="0"/>
    <n v="2"/>
  </r>
  <r>
    <n v="1"/>
    <d v="2024-01-14T00:00:00"/>
    <x v="1"/>
    <n v="10"/>
    <n v="11"/>
    <x v="19"/>
    <n v="1"/>
    <n v="0"/>
    <n v="1"/>
  </r>
  <r>
    <n v="2"/>
    <d v="2024-01-21T00:00:00"/>
    <x v="0"/>
    <n v="1"/>
    <n v="1"/>
    <x v="0"/>
    <n v="10"/>
    <n v="9"/>
    <n v="19"/>
  </r>
  <r>
    <n v="2"/>
    <d v="2024-01-21T00:00:00"/>
    <x v="0"/>
    <n v="2"/>
    <n v="2"/>
    <x v="1"/>
    <n v="9"/>
    <n v="7"/>
    <n v="16"/>
  </r>
  <r>
    <n v="2"/>
    <d v="2024-01-21T00:00:00"/>
    <x v="0"/>
    <n v="3"/>
    <n v="3"/>
    <x v="2"/>
    <n v="8"/>
    <n v="5"/>
    <n v="13"/>
  </r>
  <r>
    <n v="2"/>
    <d v="2024-01-21T00:00:00"/>
    <x v="0"/>
    <n v="4"/>
    <n v="4"/>
    <x v="3"/>
    <n v="7"/>
    <n v="3"/>
    <n v="10"/>
  </r>
  <r>
    <n v="2"/>
    <d v="2024-01-21T00:00:00"/>
    <x v="0"/>
    <n v="5"/>
    <n v="5"/>
    <x v="4"/>
    <n v="6"/>
    <n v="1"/>
    <n v="7"/>
  </r>
  <r>
    <n v="2"/>
    <d v="2024-01-21T00:00:00"/>
    <x v="0"/>
    <n v="6"/>
    <n v="6"/>
    <x v="5"/>
    <n v="5"/>
    <n v="0"/>
    <n v="5"/>
  </r>
  <r>
    <n v="2"/>
    <d v="2024-01-21T00:00:00"/>
    <x v="0"/>
    <n v="7"/>
    <n v="7"/>
    <x v="6"/>
    <n v="4"/>
    <n v="0"/>
    <n v="4"/>
  </r>
  <r>
    <n v="2"/>
    <d v="2024-01-21T00:00:00"/>
    <x v="0"/>
    <n v="8"/>
    <n v="9"/>
    <x v="8"/>
    <n v="3"/>
    <n v="0"/>
    <n v="3"/>
  </r>
  <r>
    <n v="2"/>
    <d v="2024-01-21T00:00:00"/>
    <x v="0"/>
    <n v="9"/>
    <n v="10"/>
    <x v="9"/>
    <n v="2"/>
    <n v="0"/>
    <n v="2"/>
  </r>
  <r>
    <n v="2"/>
    <d v="2024-01-21T00:00:00"/>
    <x v="0"/>
    <n v="10"/>
    <n v="8"/>
    <x v="7"/>
    <n v="1"/>
    <n v="0"/>
    <n v="1"/>
  </r>
  <r>
    <n v="2"/>
    <d v="2024-01-21T00:00:00"/>
    <x v="1"/>
    <n v="1"/>
    <n v="1"/>
    <x v="10"/>
    <n v="10"/>
    <n v="9"/>
    <n v="19"/>
  </r>
  <r>
    <n v="2"/>
    <d v="2024-01-21T00:00:00"/>
    <x v="1"/>
    <n v="2"/>
    <n v="3"/>
    <x v="12"/>
    <n v="9"/>
    <n v="7"/>
    <n v="16"/>
  </r>
  <r>
    <n v="2"/>
    <d v="2024-01-21T00:00:00"/>
    <x v="1"/>
    <n v="3"/>
    <n v="2"/>
    <x v="11"/>
    <n v="8"/>
    <n v="5"/>
    <n v="13"/>
  </r>
  <r>
    <n v="2"/>
    <d v="2024-01-21T00:00:00"/>
    <x v="1"/>
    <n v="4"/>
    <n v="4"/>
    <x v="13"/>
    <n v="7"/>
    <n v="3"/>
    <n v="10"/>
  </r>
  <r>
    <n v="2"/>
    <d v="2024-01-21T00:00:00"/>
    <x v="1"/>
    <n v="5"/>
    <n v="6"/>
    <x v="15"/>
    <n v="6"/>
    <n v="1"/>
    <n v="7"/>
  </r>
  <r>
    <n v="2"/>
    <d v="2024-01-21T00:00:00"/>
    <x v="1"/>
    <n v="6"/>
    <n v="5"/>
    <x v="14"/>
    <n v="5"/>
    <n v="0"/>
    <n v="5"/>
  </r>
  <r>
    <n v="2"/>
    <d v="2024-01-21T00:00:00"/>
    <x v="1"/>
    <n v="7"/>
    <n v="7"/>
    <x v="16"/>
    <n v="4"/>
    <n v="0"/>
    <n v="4"/>
  </r>
  <r>
    <n v="2"/>
    <d v="2024-01-21T00:00:00"/>
    <x v="1"/>
    <n v="8"/>
    <n v="8"/>
    <x v="17"/>
    <n v="3"/>
    <n v="0"/>
    <n v="3"/>
  </r>
  <r>
    <n v="2"/>
    <d v="2024-01-21T00:00:00"/>
    <x v="1"/>
    <n v="9"/>
    <n v="9"/>
    <x v="18"/>
    <n v="2"/>
    <n v="0"/>
    <n v="2"/>
  </r>
  <r>
    <n v="2"/>
    <d v="2024-01-21T00:00:00"/>
    <x v="1"/>
    <n v="10"/>
    <n v="10"/>
    <x v="19"/>
    <n v="1"/>
    <n v="0"/>
    <n v="1"/>
  </r>
  <r>
    <n v="3"/>
    <d v="2024-01-28T00:00:00"/>
    <x v="0"/>
    <n v="1"/>
    <n v="1"/>
    <x v="0"/>
    <n v="10"/>
    <n v="9"/>
    <n v="19"/>
  </r>
  <r>
    <n v="3"/>
    <d v="2024-01-28T00:00:00"/>
    <x v="0"/>
    <n v="2"/>
    <n v="2"/>
    <x v="1"/>
    <n v="9"/>
    <n v="7"/>
    <n v="16"/>
  </r>
  <r>
    <n v="3"/>
    <d v="2024-01-28T00:00:00"/>
    <x v="0"/>
    <n v="3"/>
    <n v="3"/>
    <x v="2"/>
    <n v="8"/>
    <n v="5"/>
    <n v="13"/>
  </r>
  <r>
    <n v="3"/>
    <d v="2024-01-28T00:00:00"/>
    <x v="0"/>
    <n v="4"/>
    <n v="4"/>
    <x v="3"/>
    <n v="7"/>
    <n v="3"/>
    <n v="10"/>
  </r>
  <r>
    <n v="3"/>
    <d v="2024-01-28T00:00:00"/>
    <x v="0"/>
    <n v="5"/>
    <n v="5"/>
    <x v="4"/>
    <n v="6"/>
    <n v="1"/>
    <n v="7"/>
  </r>
  <r>
    <n v="3"/>
    <d v="2024-01-28T00:00:00"/>
    <x v="0"/>
    <n v="6"/>
    <n v="6"/>
    <x v="5"/>
    <n v="5"/>
    <n v="0"/>
    <n v="5"/>
  </r>
  <r>
    <n v="3"/>
    <d v="2024-01-28T00:00:00"/>
    <x v="0"/>
    <n v="7"/>
    <n v="7"/>
    <x v="6"/>
    <n v="4"/>
    <n v="0"/>
    <n v="4"/>
  </r>
  <r>
    <n v="3"/>
    <d v="2024-01-28T00:00:00"/>
    <x v="0"/>
    <n v="8"/>
    <n v="11"/>
    <x v="20"/>
    <n v="3"/>
    <n v="0"/>
    <n v="3"/>
  </r>
  <r>
    <n v="3"/>
    <d v="2024-01-28T00:00:00"/>
    <x v="0"/>
    <n v="9"/>
    <n v="9"/>
    <x v="9"/>
    <n v="2"/>
    <n v="0"/>
    <n v="2"/>
  </r>
  <r>
    <n v="3"/>
    <d v="2024-01-28T00:00:00"/>
    <x v="0"/>
    <n v="10"/>
    <n v="11"/>
    <x v="21"/>
    <n v="1"/>
    <n v="0"/>
    <n v="1"/>
  </r>
  <r>
    <n v="3"/>
    <d v="2024-01-28T00:00:00"/>
    <x v="1"/>
    <n v="1"/>
    <n v="1"/>
    <x v="10"/>
    <n v="10"/>
    <n v="9"/>
    <n v="19"/>
  </r>
  <r>
    <n v="3"/>
    <d v="2024-01-28T00:00:00"/>
    <x v="1"/>
    <n v="2"/>
    <n v="2"/>
    <x v="12"/>
    <n v="9"/>
    <n v="7"/>
    <n v="16"/>
  </r>
  <r>
    <n v="3"/>
    <d v="2024-01-28T00:00:00"/>
    <x v="1"/>
    <n v="3"/>
    <n v="3"/>
    <x v="11"/>
    <n v="8"/>
    <n v="5"/>
    <n v="13"/>
  </r>
  <r>
    <n v="3"/>
    <d v="2024-01-28T00:00:00"/>
    <x v="1"/>
    <n v="4"/>
    <n v="5"/>
    <x v="15"/>
    <n v="7"/>
    <n v="3"/>
    <n v="10"/>
  </r>
  <r>
    <n v="3"/>
    <d v="2024-01-28T00:00:00"/>
    <x v="1"/>
    <n v="5"/>
    <n v="8"/>
    <x v="17"/>
    <n v="6"/>
    <n v="1"/>
    <n v="7"/>
  </r>
  <r>
    <n v="3"/>
    <d v="2024-01-28T00:00:00"/>
    <x v="1"/>
    <n v="6"/>
    <n v="11"/>
    <x v="22"/>
    <n v="5"/>
    <n v="0"/>
    <n v="5"/>
  </r>
  <r>
    <n v="3"/>
    <d v="2024-01-28T00:00:00"/>
    <x v="1"/>
    <n v="7"/>
    <n v="4"/>
    <x v="13"/>
    <n v="4"/>
    <n v="0"/>
    <n v="4"/>
  </r>
  <r>
    <n v="3"/>
    <d v="2024-01-28T00:00:00"/>
    <x v="1"/>
    <n v="8"/>
    <n v="9"/>
    <x v="18"/>
    <n v="3"/>
    <n v="0"/>
    <n v="3"/>
  </r>
  <r>
    <n v="3"/>
    <d v="2024-01-28T00:00:00"/>
    <x v="1"/>
    <n v="9"/>
    <n v="10"/>
    <x v="19"/>
    <n v="2"/>
    <n v="0"/>
    <n v="2"/>
  </r>
  <r>
    <n v="3"/>
    <d v="2024-01-28T00:00:00"/>
    <x v="1"/>
    <n v="10"/>
    <n v="11"/>
    <x v="23"/>
    <n v="1"/>
    <n v="0"/>
    <n v="1"/>
  </r>
  <r>
    <n v="4"/>
    <d v="2024-02-04T00:00:00"/>
    <x v="0"/>
    <n v="1"/>
    <n v="4"/>
    <x v="3"/>
    <n v="10"/>
    <n v="9"/>
    <n v="19"/>
  </r>
  <r>
    <n v="4"/>
    <d v="2024-02-04T00:00:00"/>
    <x v="0"/>
    <n v="2"/>
    <n v="2"/>
    <x v="1"/>
    <n v="9"/>
    <n v="7"/>
    <n v="16"/>
  </r>
  <r>
    <n v="4"/>
    <d v="2024-02-04T00:00:00"/>
    <x v="0"/>
    <n v="3"/>
    <n v="3"/>
    <x v="2"/>
    <n v="8"/>
    <n v="5"/>
    <n v="13"/>
  </r>
  <r>
    <n v="4"/>
    <d v="2024-02-04T00:00:00"/>
    <x v="0"/>
    <n v="4"/>
    <n v="5"/>
    <x v="4"/>
    <n v="7"/>
    <n v="3"/>
    <n v="10"/>
  </r>
  <r>
    <n v="4"/>
    <d v="2024-02-04T00:00:00"/>
    <x v="0"/>
    <n v="5"/>
    <n v="1"/>
    <x v="0"/>
    <n v="6"/>
    <n v="1"/>
    <n v="7"/>
  </r>
  <r>
    <n v="4"/>
    <d v="2024-02-04T00:00:00"/>
    <x v="0"/>
    <n v="6"/>
    <n v="9"/>
    <x v="9"/>
    <n v="5"/>
    <n v="0"/>
    <n v="5"/>
  </r>
  <r>
    <n v="4"/>
    <d v="2024-02-04T00:00:00"/>
    <x v="0"/>
    <n v="7"/>
    <n v="6"/>
    <x v="5"/>
    <n v="4"/>
    <n v="0"/>
    <n v="4"/>
  </r>
  <r>
    <n v="4"/>
    <d v="2024-02-04T00:00:00"/>
    <x v="0"/>
    <n v="8"/>
    <n v="8"/>
    <x v="20"/>
    <n v="3"/>
    <n v="0"/>
    <n v="3"/>
  </r>
  <r>
    <n v="4"/>
    <d v="2024-02-04T00:00:00"/>
    <x v="0"/>
    <n v="9"/>
    <n v="11"/>
    <x v="24"/>
    <n v="2"/>
    <n v="0"/>
    <n v="2"/>
  </r>
  <r>
    <n v="4"/>
    <d v="2024-02-04T00:00:00"/>
    <x v="0"/>
    <n v="10"/>
    <n v="7"/>
    <x v="6"/>
    <n v="1"/>
    <n v="0"/>
    <n v="1"/>
  </r>
  <r>
    <n v="4"/>
    <d v="2024-02-04T00:00:00"/>
    <x v="1"/>
    <n v="1"/>
    <n v="4"/>
    <x v="15"/>
    <n v="10"/>
    <n v="9"/>
    <n v="19"/>
  </r>
  <r>
    <n v="4"/>
    <d v="2024-02-04T00:00:00"/>
    <x v="1"/>
    <n v="2"/>
    <n v="11"/>
    <x v="25"/>
    <n v="9"/>
    <n v="7"/>
    <n v="16"/>
  </r>
  <r>
    <n v="4"/>
    <d v="2024-02-04T00:00:00"/>
    <x v="1"/>
    <n v="3"/>
    <n v="1"/>
    <x v="10"/>
    <n v="8"/>
    <n v="5"/>
    <n v="13"/>
  </r>
  <r>
    <n v="4"/>
    <d v="2024-02-04T00:00:00"/>
    <x v="1"/>
    <n v="4"/>
    <n v="2"/>
    <x v="12"/>
    <n v="7"/>
    <n v="3"/>
    <n v="10"/>
  </r>
  <r>
    <n v="4"/>
    <d v="2024-02-04T00:00:00"/>
    <x v="1"/>
    <n v="5"/>
    <n v="6"/>
    <x v="22"/>
    <n v="6"/>
    <n v="1"/>
    <n v="7"/>
  </r>
  <r>
    <n v="4"/>
    <d v="2024-02-04T00:00:00"/>
    <x v="1"/>
    <n v="6"/>
    <n v="3"/>
    <x v="11"/>
    <n v="5"/>
    <n v="0"/>
    <n v="5"/>
  </r>
  <r>
    <n v="4"/>
    <d v="2024-02-04T00:00:00"/>
    <x v="1"/>
    <n v="7"/>
    <n v="5"/>
    <x v="17"/>
    <n v="4"/>
    <n v="0"/>
    <n v="4"/>
  </r>
  <r>
    <n v="4"/>
    <d v="2024-02-04T00:00:00"/>
    <x v="1"/>
    <n v="8"/>
    <n v="9"/>
    <x v="19"/>
    <n v="3"/>
    <n v="0"/>
    <n v="3"/>
  </r>
  <r>
    <n v="4"/>
    <d v="2024-02-04T00:00:00"/>
    <x v="1"/>
    <n v="9"/>
    <n v="7"/>
    <x v="13"/>
    <n v="2"/>
    <n v="0"/>
    <n v="2"/>
  </r>
  <r>
    <n v="4"/>
    <d v="2024-02-04T00:00:00"/>
    <x v="1"/>
    <n v="10"/>
    <n v="11"/>
    <x v="26"/>
    <n v="1"/>
    <n v="0"/>
    <n v="1"/>
  </r>
  <r>
    <n v="5"/>
    <d v="2024-02-11T00:00:00"/>
    <x v="0"/>
    <n v="1"/>
    <n v="1"/>
    <x v="3"/>
    <n v="10"/>
    <n v="9"/>
    <n v="19"/>
  </r>
  <r>
    <n v="5"/>
    <d v="2024-02-11T00:00:00"/>
    <x v="0"/>
    <n v="2"/>
    <n v="2"/>
    <x v="1"/>
    <n v="9"/>
    <n v="7"/>
    <n v="16"/>
  </r>
  <r>
    <n v="5"/>
    <d v="2024-02-11T00:00:00"/>
    <x v="0"/>
    <n v="3"/>
    <n v="3"/>
    <x v="2"/>
    <n v="8"/>
    <n v="5"/>
    <n v="13"/>
  </r>
  <r>
    <n v="5"/>
    <d v="2024-02-11T00:00:00"/>
    <x v="0"/>
    <n v="4"/>
    <n v="4"/>
    <x v="4"/>
    <n v="7"/>
    <n v="3"/>
    <n v="10"/>
  </r>
  <r>
    <n v="5"/>
    <d v="2024-02-11T00:00:00"/>
    <x v="0"/>
    <n v="5"/>
    <n v="7"/>
    <x v="5"/>
    <n v="6"/>
    <n v="1"/>
    <n v="7"/>
  </r>
  <r>
    <n v="5"/>
    <d v="2024-02-11T00:00:00"/>
    <x v="0"/>
    <n v="6"/>
    <n v="6"/>
    <x v="9"/>
    <n v="5"/>
    <n v="0"/>
    <n v="5"/>
  </r>
  <r>
    <n v="5"/>
    <d v="2024-02-11T00:00:00"/>
    <x v="0"/>
    <n v="7"/>
    <n v="8"/>
    <x v="20"/>
    <n v="4"/>
    <n v="0"/>
    <n v="4"/>
  </r>
  <r>
    <n v="5"/>
    <d v="2024-02-11T00:00:00"/>
    <x v="0"/>
    <n v="8"/>
    <n v="11"/>
    <x v="27"/>
    <n v="3"/>
    <n v="0"/>
    <n v="3"/>
  </r>
  <r>
    <n v="5"/>
    <d v="2024-02-11T00:00:00"/>
    <x v="0"/>
    <n v="9"/>
    <n v="9"/>
    <x v="24"/>
    <n v="2"/>
    <n v="0"/>
    <n v="2"/>
  </r>
  <r>
    <n v="5"/>
    <d v="2024-02-11T00:00:00"/>
    <x v="0"/>
    <n v="10"/>
    <n v="10"/>
    <x v="6"/>
    <n v="1"/>
    <n v="0"/>
    <n v="1"/>
  </r>
  <r>
    <n v="5"/>
    <d v="2024-02-11T00:00:00"/>
    <x v="1"/>
    <n v="1"/>
    <n v="1"/>
    <x v="15"/>
    <n v="10"/>
    <n v="9"/>
    <n v="19"/>
  </r>
  <r>
    <n v="5"/>
    <d v="2024-02-11T00:00:00"/>
    <x v="1"/>
    <n v="2"/>
    <n v="2"/>
    <x v="25"/>
    <n v="9"/>
    <n v="7"/>
    <n v="16"/>
  </r>
  <r>
    <n v="5"/>
    <d v="2024-02-11T00:00:00"/>
    <x v="1"/>
    <n v="3"/>
    <n v="3"/>
    <x v="10"/>
    <n v="8"/>
    <n v="5"/>
    <n v="13"/>
  </r>
  <r>
    <n v="5"/>
    <d v="2024-02-11T00:00:00"/>
    <x v="1"/>
    <n v="4"/>
    <n v="4"/>
    <x v="12"/>
    <n v="7"/>
    <n v="3"/>
    <n v="10"/>
  </r>
  <r>
    <n v="5"/>
    <d v="2024-02-11T00:00:00"/>
    <x v="1"/>
    <n v="5"/>
    <n v="5"/>
    <x v="22"/>
    <n v="6"/>
    <n v="1"/>
    <n v="7"/>
  </r>
  <r>
    <n v="5"/>
    <d v="2024-02-11T00:00:00"/>
    <x v="1"/>
    <n v="6"/>
    <n v="6"/>
    <x v="11"/>
    <n v="5"/>
    <n v="0"/>
    <n v="5"/>
  </r>
  <r>
    <n v="5"/>
    <d v="2024-02-11T00:00:00"/>
    <x v="1"/>
    <n v="7"/>
    <n v="7"/>
    <x v="17"/>
    <n v="4"/>
    <n v="0"/>
    <n v="4"/>
  </r>
  <r>
    <n v="5"/>
    <d v="2024-02-11T00:00:00"/>
    <x v="1"/>
    <n v="8"/>
    <n v="8"/>
    <x v="19"/>
    <n v="3"/>
    <n v="0"/>
    <n v="3"/>
  </r>
  <r>
    <n v="5"/>
    <d v="2024-02-11T00:00:00"/>
    <x v="1"/>
    <n v="9"/>
    <n v="9"/>
    <x v="13"/>
    <n v="2"/>
    <n v="0"/>
    <n v="2"/>
  </r>
  <r>
    <n v="5"/>
    <d v="2024-02-11T00:00:00"/>
    <x v="1"/>
    <n v="10"/>
    <n v="10"/>
    <x v="26"/>
    <n v="1"/>
    <n v="0"/>
    <n v="1"/>
  </r>
  <r>
    <n v="6"/>
    <d v="2024-02-18T00:00:00"/>
    <x v="0"/>
    <n v="1"/>
    <n v="1"/>
    <x v="3"/>
    <n v="10"/>
    <n v="9"/>
    <n v="19"/>
  </r>
  <r>
    <n v="6"/>
    <d v="2024-02-18T00:00:00"/>
    <x v="0"/>
    <n v="2"/>
    <n v="6"/>
    <x v="9"/>
    <n v="9"/>
    <n v="7"/>
    <n v="16"/>
  </r>
  <r>
    <n v="6"/>
    <d v="2024-02-18T00:00:00"/>
    <x v="0"/>
    <n v="3"/>
    <n v="4"/>
    <x v="4"/>
    <n v="8"/>
    <n v="5"/>
    <n v="13"/>
  </r>
  <r>
    <n v="6"/>
    <d v="2024-02-18T00:00:00"/>
    <x v="0"/>
    <n v="4"/>
    <n v="9"/>
    <x v="24"/>
    <n v="7"/>
    <n v="3"/>
    <n v="10"/>
  </r>
  <r>
    <n v="6"/>
    <d v="2024-02-18T00:00:00"/>
    <x v="0"/>
    <n v="5"/>
    <n v="2"/>
    <x v="1"/>
    <n v="6"/>
    <n v="1"/>
    <n v="7"/>
  </r>
  <r>
    <n v="6"/>
    <d v="2024-02-18T00:00:00"/>
    <x v="0"/>
    <n v="6"/>
    <n v="3"/>
    <x v="2"/>
    <n v="5"/>
    <n v="0"/>
    <n v="5"/>
  </r>
  <r>
    <n v="6"/>
    <d v="2024-02-18T00:00:00"/>
    <x v="0"/>
    <n v="7"/>
    <n v="7"/>
    <x v="20"/>
    <n v="4"/>
    <n v="0"/>
    <n v="4"/>
  </r>
  <r>
    <n v="6"/>
    <d v="2024-02-18T00:00:00"/>
    <x v="0"/>
    <n v="8"/>
    <n v="8"/>
    <x v="27"/>
    <n v="3"/>
    <n v="0"/>
    <n v="3"/>
  </r>
  <r>
    <n v="6"/>
    <d v="2024-02-18T00:00:00"/>
    <x v="0"/>
    <n v="9"/>
    <n v="11"/>
    <x v="28"/>
    <n v="2"/>
    <n v="0"/>
    <n v="2"/>
  </r>
  <r>
    <n v="6"/>
    <d v="2024-02-18T00:00:00"/>
    <x v="0"/>
    <n v="10"/>
    <n v="10"/>
    <x v="6"/>
    <n v="1"/>
    <n v="0"/>
    <n v="1"/>
  </r>
  <r>
    <n v="6"/>
    <d v="2024-02-18T00:00:00"/>
    <x v="1"/>
    <n v="1"/>
    <n v="1"/>
    <x v="15"/>
    <n v="10"/>
    <n v="9"/>
    <n v="19"/>
  </r>
  <r>
    <n v="6"/>
    <d v="2024-02-18T00:00:00"/>
    <x v="1"/>
    <n v="2"/>
    <n v="2"/>
    <x v="25"/>
    <n v="9"/>
    <n v="7"/>
    <n v="16"/>
  </r>
  <r>
    <n v="6"/>
    <d v="2024-02-18T00:00:00"/>
    <x v="1"/>
    <n v="3"/>
    <n v="3"/>
    <x v="10"/>
    <n v="8"/>
    <n v="5"/>
    <n v="13"/>
  </r>
  <r>
    <n v="6"/>
    <d v="2024-02-18T00:00:00"/>
    <x v="1"/>
    <n v="4"/>
    <n v="4"/>
    <x v="12"/>
    <n v="7"/>
    <n v="3"/>
    <n v="10"/>
  </r>
  <r>
    <n v="6"/>
    <d v="2024-02-18T00:00:00"/>
    <x v="1"/>
    <n v="5"/>
    <n v="5"/>
    <x v="22"/>
    <n v="6"/>
    <n v="1"/>
    <n v="7"/>
  </r>
  <r>
    <n v="6"/>
    <d v="2024-02-18T00:00:00"/>
    <x v="1"/>
    <n v="6"/>
    <n v="10"/>
    <x v="26"/>
    <n v="5"/>
    <n v="0"/>
    <n v="5"/>
  </r>
  <r>
    <n v="6"/>
    <d v="2024-02-18T00:00:00"/>
    <x v="1"/>
    <n v="7"/>
    <n v="7"/>
    <x v="17"/>
    <n v="4"/>
    <n v="0"/>
    <n v="4"/>
  </r>
  <r>
    <n v="6"/>
    <d v="2024-02-18T00:00:00"/>
    <x v="1"/>
    <n v="8"/>
    <n v="8"/>
    <x v="19"/>
    <n v="3"/>
    <n v="0"/>
    <n v="3"/>
  </r>
  <r>
    <n v="6"/>
    <d v="2024-02-18T00:00:00"/>
    <x v="1"/>
    <n v="9"/>
    <n v="9"/>
    <x v="13"/>
    <n v="2"/>
    <n v="0"/>
    <n v="2"/>
  </r>
  <r>
    <n v="6"/>
    <d v="2024-02-18T00:00:00"/>
    <x v="1"/>
    <n v="10"/>
    <n v="6"/>
    <x v="11"/>
    <n v="1"/>
    <n v="0"/>
    <n v="1"/>
  </r>
  <r>
    <n v="7"/>
    <d v="2024-02-25T00:00:00"/>
    <x v="0"/>
    <n v="1"/>
    <n v="1"/>
    <x v="3"/>
    <n v="10"/>
    <n v="9"/>
    <n v="19"/>
  </r>
  <r>
    <n v="7"/>
    <d v="2024-02-25T00:00:00"/>
    <x v="0"/>
    <n v="2"/>
    <n v="2"/>
    <x v="9"/>
    <n v="9"/>
    <n v="7"/>
    <n v="16"/>
  </r>
  <r>
    <n v="7"/>
    <d v="2024-02-25T00:00:00"/>
    <x v="0"/>
    <n v="3"/>
    <n v="4"/>
    <x v="24"/>
    <n v="8"/>
    <n v="5"/>
    <n v="13"/>
  </r>
  <r>
    <n v="7"/>
    <d v="2024-02-25T00:00:00"/>
    <x v="0"/>
    <n v="4"/>
    <n v="7"/>
    <x v="20"/>
    <n v="7"/>
    <n v="3"/>
    <n v="10"/>
  </r>
  <r>
    <n v="7"/>
    <d v="2024-02-25T00:00:00"/>
    <x v="0"/>
    <n v="5"/>
    <n v="6"/>
    <x v="2"/>
    <n v="6"/>
    <n v="1"/>
    <n v="7"/>
  </r>
  <r>
    <n v="7"/>
    <d v="2024-02-25T00:00:00"/>
    <x v="0"/>
    <n v="6"/>
    <n v="8"/>
    <x v="27"/>
    <n v="5"/>
    <n v="0"/>
    <n v="5"/>
  </r>
  <r>
    <n v="7"/>
    <d v="2024-02-25T00:00:00"/>
    <x v="0"/>
    <n v="7"/>
    <n v="3"/>
    <x v="4"/>
    <n v="4"/>
    <n v="0"/>
    <n v="4"/>
  </r>
  <r>
    <n v="7"/>
    <d v="2024-02-25T00:00:00"/>
    <x v="0"/>
    <n v="8"/>
    <n v="9"/>
    <x v="28"/>
    <n v="3"/>
    <n v="0"/>
    <n v="3"/>
  </r>
  <r>
    <n v="7"/>
    <d v="2024-02-25T00:00:00"/>
    <x v="0"/>
    <n v="9"/>
    <n v="11"/>
    <x v="29"/>
    <n v="2"/>
    <n v="0"/>
    <n v="2"/>
  </r>
  <r>
    <n v="7"/>
    <d v="2024-02-25T00:00:00"/>
    <x v="0"/>
    <n v="10"/>
    <n v="11"/>
    <x v="30"/>
    <n v="1"/>
    <n v="0"/>
    <n v="1"/>
  </r>
  <r>
    <n v="7"/>
    <d v="2024-02-25T00:00:00"/>
    <x v="1"/>
    <n v="1"/>
    <n v="1"/>
    <x v="15"/>
    <n v="10"/>
    <n v="9"/>
    <n v="19"/>
  </r>
  <r>
    <n v="7"/>
    <d v="2024-02-25T00:00:00"/>
    <x v="1"/>
    <n v="2"/>
    <n v="2"/>
    <x v="25"/>
    <n v="9"/>
    <n v="7"/>
    <n v="16"/>
  </r>
  <r>
    <n v="7"/>
    <d v="2024-02-25T00:00:00"/>
    <x v="1"/>
    <n v="3"/>
    <n v="5"/>
    <x v="22"/>
    <n v="8"/>
    <n v="5"/>
    <n v="13"/>
  </r>
  <r>
    <n v="7"/>
    <d v="2024-02-25T00:00:00"/>
    <x v="1"/>
    <n v="4"/>
    <n v="4"/>
    <x v="12"/>
    <n v="7"/>
    <n v="3"/>
    <n v="10"/>
  </r>
  <r>
    <n v="7"/>
    <d v="2024-02-25T00:00:00"/>
    <x v="1"/>
    <n v="5"/>
    <n v="3"/>
    <x v="10"/>
    <n v="6"/>
    <n v="1"/>
    <n v="7"/>
  </r>
  <r>
    <n v="7"/>
    <d v="2024-02-25T00:00:00"/>
    <x v="1"/>
    <n v="6"/>
    <n v="6"/>
    <x v="26"/>
    <n v="5"/>
    <n v="0"/>
    <n v="5"/>
  </r>
  <r>
    <n v="7"/>
    <d v="2024-02-25T00:00:00"/>
    <x v="1"/>
    <n v="7"/>
    <n v="11"/>
    <x v="31"/>
    <n v="4"/>
    <n v="0"/>
    <n v="4"/>
  </r>
  <r>
    <n v="7"/>
    <d v="2024-02-25T00:00:00"/>
    <x v="1"/>
    <n v="8"/>
    <n v="9"/>
    <x v="13"/>
    <n v="3"/>
    <n v="0"/>
    <n v="3"/>
  </r>
  <r>
    <n v="7"/>
    <d v="2024-02-25T00:00:00"/>
    <x v="1"/>
    <n v="9"/>
    <n v="11"/>
    <x v="32"/>
    <n v="2"/>
    <n v="0"/>
    <n v="2"/>
  </r>
  <r>
    <n v="7"/>
    <d v="2024-02-25T00:00:00"/>
    <x v="1"/>
    <n v="10"/>
    <n v="11"/>
    <x v="33"/>
    <n v="1"/>
    <n v="0"/>
    <n v="1"/>
  </r>
  <r>
    <n v="8"/>
    <d v="2024-03-03T00:00:00"/>
    <x v="0"/>
    <n v="1"/>
    <n v="2"/>
    <x v="9"/>
    <n v="10"/>
    <n v="9"/>
    <n v="19"/>
  </r>
  <r>
    <n v="8"/>
    <d v="2024-03-03T00:00:00"/>
    <x v="0"/>
    <n v="2"/>
    <n v="3"/>
    <x v="24"/>
    <n v="9"/>
    <n v="7"/>
    <n v="16"/>
  </r>
  <r>
    <n v="8"/>
    <d v="2024-03-03T00:00:00"/>
    <x v="0"/>
    <n v="3"/>
    <n v="1"/>
    <x v="3"/>
    <n v="8"/>
    <n v="5"/>
    <n v="13"/>
  </r>
  <r>
    <n v="8"/>
    <d v="2024-03-03T00:00:00"/>
    <x v="0"/>
    <n v="4"/>
    <n v="4"/>
    <x v="20"/>
    <n v="7"/>
    <n v="3"/>
    <n v="10"/>
  </r>
  <r>
    <n v="8"/>
    <d v="2024-03-03T00:00:00"/>
    <x v="0"/>
    <n v="5"/>
    <n v="9"/>
    <x v="29"/>
    <n v="6"/>
    <n v="1"/>
    <n v="7"/>
  </r>
  <r>
    <n v="8"/>
    <d v="2024-03-03T00:00:00"/>
    <x v="0"/>
    <n v="6"/>
    <n v="8"/>
    <x v="28"/>
    <n v="5"/>
    <n v="0"/>
    <n v="5"/>
  </r>
  <r>
    <n v="8"/>
    <d v="2024-03-03T00:00:00"/>
    <x v="0"/>
    <n v="7"/>
    <n v="10"/>
    <x v="30"/>
    <n v="4"/>
    <n v="0"/>
    <n v="4"/>
  </r>
  <r>
    <n v="8"/>
    <d v="2024-03-03T00:00:00"/>
    <x v="0"/>
    <n v="8"/>
    <n v="5"/>
    <x v="2"/>
    <n v="3"/>
    <n v="0"/>
    <n v="3"/>
  </r>
  <r>
    <n v="8"/>
    <d v="2024-03-03T00:00:00"/>
    <x v="0"/>
    <n v="9"/>
    <n v="11"/>
    <x v="34"/>
    <n v="2"/>
    <n v="0"/>
    <n v="2"/>
  </r>
  <r>
    <n v="8"/>
    <d v="2024-03-03T00:00:00"/>
    <x v="0"/>
    <n v="10"/>
    <n v="7"/>
    <x v="4"/>
    <n v="1"/>
    <n v="0"/>
    <n v="1"/>
  </r>
  <r>
    <n v="8"/>
    <d v="2024-03-03T00:00:00"/>
    <x v="1"/>
    <n v="1"/>
    <n v="1"/>
    <x v="15"/>
    <n v="10"/>
    <n v="9"/>
    <n v="19"/>
  </r>
  <r>
    <n v="8"/>
    <d v="2024-03-03T00:00:00"/>
    <x v="1"/>
    <n v="2"/>
    <n v="3"/>
    <x v="22"/>
    <n v="9"/>
    <n v="7"/>
    <n v="16"/>
  </r>
  <r>
    <n v="8"/>
    <d v="2024-03-03T00:00:00"/>
    <x v="1"/>
    <n v="3"/>
    <n v="2"/>
    <x v="25"/>
    <n v="8"/>
    <n v="5"/>
    <n v="13"/>
  </r>
  <r>
    <n v="8"/>
    <d v="2024-03-03T00:00:00"/>
    <x v="1"/>
    <n v="4"/>
    <n v="9"/>
    <x v="32"/>
    <n v="7"/>
    <n v="3"/>
    <n v="10"/>
  </r>
  <r>
    <n v="8"/>
    <d v="2024-03-03T00:00:00"/>
    <x v="1"/>
    <n v="5"/>
    <n v="11"/>
    <x v="35"/>
    <n v="6"/>
    <n v="1"/>
    <n v="7"/>
  </r>
  <r>
    <n v="8"/>
    <d v="2024-03-03T00:00:00"/>
    <x v="1"/>
    <n v="6"/>
    <n v="6"/>
    <x v="26"/>
    <n v="5"/>
    <n v="0"/>
    <n v="5"/>
  </r>
  <r>
    <n v="8"/>
    <d v="2024-03-03T00:00:00"/>
    <x v="1"/>
    <n v="7"/>
    <n v="10"/>
    <x v="33"/>
    <n v="4"/>
    <n v="0"/>
    <n v="4"/>
  </r>
  <r>
    <n v="8"/>
    <d v="2024-03-03T00:00:00"/>
    <x v="1"/>
    <n v="8"/>
    <n v="8"/>
    <x v="13"/>
    <n v="3"/>
    <n v="0"/>
    <n v="3"/>
  </r>
  <r>
    <n v="8"/>
    <d v="2024-03-03T00:00:00"/>
    <x v="1"/>
    <n v="9"/>
    <n v="5"/>
    <x v="10"/>
    <n v="2"/>
    <n v="0"/>
    <n v="2"/>
  </r>
  <r>
    <n v="8"/>
    <d v="2024-03-03T00:00:00"/>
    <x v="1"/>
    <n v="10"/>
    <n v="4"/>
    <x v="12"/>
    <n v="1"/>
    <n v="0"/>
    <n v="1"/>
  </r>
  <r>
    <n v="9"/>
    <d v="2024-03-10T00:00:00"/>
    <x v="0"/>
    <n v="1"/>
    <n v="1"/>
    <x v="9"/>
    <n v="10"/>
    <n v="9"/>
    <n v="19"/>
  </r>
  <r>
    <n v="9"/>
    <d v="2024-03-10T00:00:00"/>
    <x v="0"/>
    <n v="2"/>
    <n v="2"/>
    <x v="24"/>
    <n v="9"/>
    <n v="7"/>
    <n v="16"/>
  </r>
  <r>
    <n v="9"/>
    <d v="2024-03-10T00:00:00"/>
    <x v="0"/>
    <n v="3"/>
    <n v="4"/>
    <x v="20"/>
    <n v="8"/>
    <n v="5"/>
    <n v="13"/>
  </r>
  <r>
    <n v="9"/>
    <d v="2024-03-10T00:00:00"/>
    <x v="0"/>
    <n v="4"/>
    <n v="3"/>
    <x v="3"/>
    <n v="7"/>
    <n v="3"/>
    <n v="10"/>
  </r>
  <r>
    <n v="9"/>
    <d v="2024-03-10T00:00:00"/>
    <x v="0"/>
    <n v="5"/>
    <n v="6"/>
    <x v="28"/>
    <n v="6"/>
    <n v="1"/>
    <n v="7"/>
  </r>
  <r>
    <n v="9"/>
    <d v="2024-03-10T00:00:00"/>
    <x v="0"/>
    <n v="6"/>
    <n v="5"/>
    <x v="29"/>
    <n v="5"/>
    <n v="0"/>
    <n v="5"/>
  </r>
  <r>
    <n v="9"/>
    <d v="2024-03-10T00:00:00"/>
    <x v="0"/>
    <n v="7"/>
    <n v="7"/>
    <x v="30"/>
    <n v="4"/>
    <n v="0"/>
    <n v="4"/>
  </r>
  <r>
    <n v="9"/>
    <d v="2024-03-10T00:00:00"/>
    <x v="0"/>
    <n v="8"/>
    <n v="9"/>
    <x v="34"/>
    <n v="3"/>
    <n v="0"/>
    <n v="3"/>
  </r>
  <r>
    <n v="9"/>
    <d v="2024-03-10T00:00:00"/>
    <x v="0"/>
    <n v="9"/>
    <n v="11"/>
    <x v="36"/>
    <n v="2"/>
    <n v="0"/>
    <n v="2"/>
  </r>
  <r>
    <n v="9"/>
    <d v="2024-03-10T00:00:00"/>
    <x v="0"/>
    <n v="10"/>
    <n v="8"/>
    <x v="2"/>
    <n v="1"/>
    <n v="0"/>
    <n v="1"/>
  </r>
  <r>
    <n v="9"/>
    <d v="2024-03-10T00:00:00"/>
    <x v="1"/>
    <n v="1"/>
    <n v="1"/>
    <x v="15"/>
    <n v="10"/>
    <n v="9"/>
    <n v="19"/>
  </r>
  <r>
    <n v="9"/>
    <d v="2024-03-10T00:00:00"/>
    <x v="1"/>
    <n v="2"/>
    <n v="7"/>
    <x v="33"/>
    <n v="9"/>
    <n v="7"/>
    <n v="16"/>
  </r>
  <r>
    <n v="9"/>
    <d v="2024-03-10T00:00:00"/>
    <x v="1"/>
    <n v="3"/>
    <n v="4"/>
    <x v="32"/>
    <n v="8"/>
    <n v="5"/>
    <n v="13"/>
  </r>
  <r>
    <n v="9"/>
    <d v="2024-03-10T00:00:00"/>
    <x v="1"/>
    <n v="4"/>
    <n v="3"/>
    <x v="25"/>
    <n v="7"/>
    <n v="3"/>
    <n v="10"/>
  </r>
  <r>
    <n v="9"/>
    <d v="2024-03-10T00:00:00"/>
    <x v="1"/>
    <n v="5"/>
    <n v="5"/>
    <x v="35"/>
    <n v="6"/>
    <n v="1"/>
    <n v="7"/>
  </r>
  <r>
    <n v="9"/>
    <d v="2024-03-10T00:00:00"/>
    <x v="1"/>
    <n v="6"/>
    <n v="2"/>
    <x v="22"/>
    <n v="5"/>
    <n v="0"/>
    <n v="5"/>
  </r>
  <r>
    <n v="9"/>
    <d v="2024-03-10T00:00:00"/>
    <x v="1"/>
    <n v="7"/>
    <n v="11"/>
    <x v="37"/>
    <n v="4"/>
    <n v="0"/>
    <n v="4"/>
  </r>
  <r>
    <n v="9"/>
    <d v="2024-03-10T00:00:00"/>
    <x v="1"/>
    <n v="8"/>
    <n v="6"/>
    <x v="26"/>
    <n v="3"/>
    <n v="0"/>
    <n v="3"/>
  </r>
  <r>
    <n v="9"/>
    <d v="2024-03-10T00:00:00"/>
    <x v="1"/>
    <n v="9"/>
    <n v="8"/>
    <x v="13"/>
    <n v="2"/>
    <n v="0"/>
    <n v="2"/>
  </r>
  <r>
    <n v="9"/>
    <d v="2024-03-10T00:00:00"/>
    <x v="1"/>
    <n v="10"/>
    <n v="9"/>
    <x v="10"/>
    <n v="1"/>
    <n v="0"/>
    <n v="1"/>
  </r>
  <r>
    <n v="10"/>
    <d v="2024-03-17T00:00:00"/>
    <x v="0"/>
    <n v="1"/>
    <n v="2"/>
    <x v="24"/>
    <n v="10"/>
    <n v="9"/>
    <n v="19"/>
  </r>
  <r>
    <n v="10"/>
    <d v="2024-03-17T00:00:00"/>
    <x v="0"/>
    <n v="2"/>
    <n v="3"/>
    <x v="20"/>
    <n v="9"/>
    <n v="7"/>
    <n v="16"/>
  </r>
  <r>
    <n v="10"/>
    <d v="2024-03-17T00:00:00"/>
    <x v="0"/>
    <n v="3"/>
    <n v="1"/>
    <x v="9"/>
    <n v="8"/>
    <n v="5"/>
    <n v="13"/>
  </r>
  <r>
    <n v="10"/>
    <d v="2024-03-17T00:00:00"/>
    <x v="0"/>
    <n v="4"/>
    <n v="5"/>
    <x v="28"/>
    <n v="7"/>
    <n v="3"/>
    <n v="10"/>
  </r>
  <r>
    <n v="10"/>
    <d v="2024-03-17T00:00:00"/>
    <x v="0"/>
    <n v="5"/>
    <n v="6"/>
    <x v="29"/>
    <n v="6"/>
    <n v="1"/>
    <n v="7"/>
  </r>
  <r>
    <n v="10"/>
    <d v="2024-03-17T00:00:00"/>
    <x v="0"/>
    <n v="6"/>
    <n v="4"/>
    <x v="3"/>
    <n v="5"/>
    <n v="0"/>
    <n v="5"/>
  </r>
  <r>
    <n v="10"/>
    <d v="2024-03-17T00:00:00"/>
    <x v="0"/>
    <n v="7"/>
    <n v="7"/>
    <x v="30"/>
    <n v="4"/>
    <n v="0"/>
    <n v="4"/>
  </r>
  <r>
    <n v="10"/>
    <d v="2024-03-17T00:00:00"/>
    <x v="0"/>
    <n v="8"/>
    <n v="8"/>
    <x v="34"/>
    <n v="3"/>
    <n v="0"/>
    <n v="3"/>
  </r>
  <r>
    <n v="10"/>
    <d v="2024-03-17T00:00:00"/>
    <x v="0"/>
    <n v="9"/>
    <n v="9"/>
    <x v="36"/>
    <n v="2"/>
    <n v="0"/>
    <n v="2"/>
  </r>
  <r>
    <n v="10"/>
    <d v="2024-03-17T00:00:00"/>
    <x v="0"/>
    <n v="10"/>
    <n v="11"/>
    <x v="38"/>
    <n v="1"/>
    <n v="0"/>
    <n v="1"/>
  </r>
  <r>
    <n v="10"/>
    <d v="2024-03-17T00:00:00"/>
    <x v="1"/>
    <n v="1"/>
    <n v="2"/>
    <x v="33"/>
    <n v="10"/>
    <n v="9"/>
    <n v="19"/>
  </r>
  <r>
    <n v="10"/>
    <d v="2024-03-17T00:00:00"/>
    <x v="1"/>
    <n v="2"/>
    <n v="3"/>
    <x v="32"/>
    <n v="9"/>
    <n v="7"/>
    <n v="16"/>
  </r>
  <r>
    <n v="10"/>
    <d v="2024-03-17T00:00:00"/>
    <x v="1"/>
    <n v="3"/>
    <n v="1"/>
    <x v="15"/>
    <n v="8"/>
    <n v="5"/>
    <n v="13"/>
  </r>
  <r>
    <n v="10"/>
    <d v="2024-03-17T00:00:00"/>
    <x v="1"/>
    <n v="4"/>
    <n v="5"/>
    <x v="35"/>
    <n v="7"/>
    <n v="3"/>
    <n v="10"/>
  </r>
  <r>
    <n v="10"/>
    <d v="2024-03-17T00:00:00"/>
    <x v="1"/>
    <n v="5"/>
    <n v="7"/>
    <x v="37"/>
    <n v="6"/>
    <n v="1"/>
    <n v="7"/>
  </r>
  <r>
    <n v="10"/>
    <d v="2024-03-17T00:00:00"/>
    <x v="1"/>
    <n v="6"/>
    <n v="6"/>
    <x v="22"/>
    <n v="5"/>
    <n v="0"/>
    <n v="5"/>
  </r>
  <r>
    <n v="10"/>
    <d v="2024-03-17T00:00:00"/>
    <x v="1"/>
    <n v="7"/>
    <n v="4"/>
    <x v="25"/>
    <n v="4"/>
    <n v="0"/>
    <n v="4"/>
  </r>
  <r>
    <n v="10"/>
    <d v="2024-03-17T00:00:00"/>
    <x v="1"/>
    <n v="8"/>
    <n v="8"/>
    <x v="26"/>
    <n v="3"/>
    <n v="0"/>
    <n v="3"/>
  </r>
  <r>
    <n v="10"/>
    <d v="2024-03-17T00:00:00"/>
    <x v="1"/>
    <n v="9"/>
    <n v="9"/>
    <x v="13"/>
    <n v="2"/>
    <n v="0"/>
    <n v="2"/>
  </r>
  <r>
    <n v="10"/>
    <d v="2024-03-17T00:00:00"/>
    <x v="1"/>
    <n v="10"/>
    <n v="10"/>
    <x v="10"/>
    <n v="1"/>
    <n v="0"/>
    <n v="1"/>
  </r>
  <r>
    <n v="11"/>
    <d v="2024-03-24T00:00:00"/>
    <x v="0"/>
    <n v="1"/>
    <n v="1"/>
    <x v="24"/>
    <n v="10"/>
    <n v="9"/>
    <n v="19"/>
  </r>
  <r>
    <n v="11"/>
    <d v="2024-03-24T00:00:00"/>
    <x v="0"/>
    <n v="2"/>
    <n v="2"/>
    <x v="20"/>
    <n v="9"/>
    <n v="7"/>
    <n v="16"/>
  </r>
  <r>
    <n v="11"/>
    <d v="2024-03-24T00:00:00"/>
    <x v="0"/>
    <n v="3"/>
    <n v="3"/>
    <x v="9"/>
    <n v="8"/>
    <n v="5"/>
    <n v="13"/>
  </r>
  <r>
    <n v="11"/>
    <d v="2024-03-24T00:00:00"/>
    <x v="0"/>
    <n v="4"/>
    <n v="4"/>
    <x v="28"/>
    <n v="7"/>
    <n v="3"/>
    <n v="10"/>
  </r>
  <r>
    <n v="11"/>
    <d v="2024-03-24T00:00:00"/>
    <x v="0"/>
    <n v="5"/>
    <n v="8"/>
    <x v="34"/>
    <n v="6"/>
    <n v="1"/>
    <n v="7"/>
  </r>
  <r>
    <n v="11"/>
    <d v="2024-03-24T00:00:00"/>
    <x v="0"/>
    <n v="6"/>
    <n v="6"/>
    <x v="3"/>
    <n v="5"/>
    <n v="0"/>
    <n v="5"/>
  </r>
  <r>
    <n v="11"/>
    <d v="2024-03-24T00:00:00"/>
    <x v="0"/>
    <n v="7"/>
    <n v="7"/>
    <x v="30"/>
    <n v="4"/>
    <n v="0"/>
    <n v="4"/>
  </r>
  <r>
    <n v="11"/>
    <d v="2024-03-24T00:00:00"/>
    <x v="0"/>
    <n v="8"/>
    <n v="11"/>
    <x v="39"/>
    <n v="3"/>
    <n v="0"/>
    <n v="3"/>
  </r>
  <r>
    <n v="11"/>
    <d v="2024-03-24T00:00:00"/>
    <x v="0"/>
    <n v="9"/>
    <n v="9"/>
    <x v="36"/>
    <n v="2"/>
    <n v="0"/>
    <n v="2"/>
  </r>
  <r>
    <n v="11"/>
    <d v="2024-03-24T00:00:00"/>
    <x v="0"/>
    <n v="10"/>
    <n v="11"/>
    <x v="40"/>
    <n v="1"/>
    <n v="0"/>
    <n v="1"/>
  </r>
  <r>
    <n v="11"/>
    <d v="2024-03-24T00:00:00"/>
    <x v="1"/>
    <n v="1"/>
    <n v="2"/>
    <x v="32"/>
    <n v="10"/>
    <n v="9"/>
    <n v="19"/>
  </r>
  <r>
    <n v="11"/>
    <d v="2024-03-24T00:00:00"/>
    <x v="1"/>
    <n v="2"/>
    <n v="1"/>
    <x v="33"/>
    <n v="9"/>
    <n v="7"/>
    <n v="16"/>
  </r>
  <r>
    <n v="11"/>
    <d v="2024-03-24T00:00:00"/>
    <x v="1"/>
    <n v="3"/>
    <n v="3"/>
    <x v="15"/>
    <n v="8"/>
    <n v="5"/>
    <n v="13"/>
  </r>
  <r>
    <n v="11"/>
    <d v="2024-03-24T00:00:00"/>
    <x v="1"/>
    <n v="4"/>
    <n v="4"/>
    <x v="35"/>
    <n v="7"/>
    <n v="3"/>
    <n v="10"/>
  </r>
  <r>
    <n v="11"/>
    <d v="2024-03-24T00:00:00"/>
    <x v="1"/>
    <n v="5"/>
    <n v="5"/>
    <x v="37"/>
    <n v="6"/>
    <n v="1"/>
    <n v="7"/>
  </r>
  <r>
    <n v="11"/>
    <d v="2024-03-24T00:00:00"/>
    <x v="1"/>
    <n v="6"/>
    <n v="11"/>
    <x v="41"/>
    <n v="5"/>
    <n v="0"/>
    <n v="5"/>
  </r>
  <r>
    <n v="11"/>
    <d v="2024-03-24T00:00:00"/>
    <x v="1"/>
    <n v="7"/>
    <n v="11"/>
    <x v="42"/>
    <n v="4"/>
    <n v="0"/>
    <n v="4"/>
  </r>
  <r>
    <n v="11"/>
    <d v="2024-03-24T00:00:00"/>
    <x v="1"/>
    <n v="8"/>
    <n v="7"/>
    <x v="25"/>
    <n v="3"/>
    <n v="0"/>
    <n v="3"/>
  </r>
  <r>
    <n v="11"/>
    <d v="2024-03-24T00:00:00"/>
    <x v="1"/>
    <n v="9"/>
    <n v="8"/>
    <x v="26"/>
    <n v="2"/>
    <n v="0"/>
    <n v="2"/>
  </r>
  <r>
    <n v="11"/>
    <d v="2024-03-24T00:00:00"/>
    <x v="1"/>
    <n v="10"/>
    <n v="11"/>
    <x v="43"/>
    <n v="1"/>
    <n v="0"/>
    <n v="1"/>
  </r>
  <r>
    <n v="12"/>
    <d v="2024-03-31T00:00:00"/>
    <x v="0"/>
    <n v="1"/>
    <n v="1"/>
    <x v="24"/>
    <n v="10"/>
    <n v="9"/>
    <n v="19"/>
  </r>
  <r>
    <n v="12"/>
    <d v="2024-03-31T00:00:00"/>
    <x v="0"/>
    <n v="2"/>
    <n v="2"/>
    <x v="20"/>
    <n v="9"/>
    <n v="7"/>
    <n v="16"/>
  </r>
  <r>
    <n v="12"/>
    <d v="2024-03-31T00:00:00"/>
    <x v="0"/>
    <n v="3"/>
    <n v="3"/>
    <x v="9"/>
    <n v="8"/>
    <n v="5"/>
    <n v="13"/>
  </r>
  <r>
    <n v="12"/>
    <d v="2024-03-31T00:00:00"/>
    <x v="0"/>
    <n v="4"/>
    <n v="4"/>
    <x v="28"/>
    <n v="7"/>
    <n v="3"/>
    <n v="10"/>
  </r>
  <r>
    <n v="12"/>
    <d v="2024-03-31T00:00:00"/>
    <x v="0"/>
    <n v="5"/>
    <n v="5"/>
    <x v="34"/>
    <n v="6"/>
    <n v="1"/>
    <n v="7"/>
  </r>
  <r>
    <n v="12"/>
    <d v="2024-03-31T00:00:00"/>
    <x v="0"/>
    <n v="6"/>
    <n v="6"/>
    <x v="3"/>
    <n v="5"/>
    <n v="0"/>
    <n v="5"/>
  </r>
  <r>
    <n v="12"/>
    <d v="2024-03-31T00:00:00"/>
    <x v="0"/>
    <n v="7"/>
    <n v="7"/>
    <x v="30"/>
    <n v="4"/>
    <n v="0"/>
    <n v="4"/>
  </r>
  <r>
    <n v="12"/>
    <d v="2024-03-31T00:00:00"/>
    <x v="0"/>
    <n v="8"/>
    <n v="8"/>
    <x v="39"/>
    <n v="3"/>
    <n v="0"/>
    <n v="3"/>
  </r>
  <r>
    <n v="12"/>
    <d v="2024-03-31T00:00:00"/>
    <x v="0"/>
    <n v="9"/>
    <n v="10"/>
    <x v="40"/>
    <n v="2"/>
    <n v="0"/>
    <n v="2"/>
  </r>
  <r>
    <n v="12"/>
    <d v="2024-03-31T00:00:00"/>
    <x v="0"/>
    <n v="10"/>
    <n v="11"/>
    <x v="44"/>
    <n v="1"/>
    <n v="0"/>
    <n v="1"/>
  </r>
  <r>
    <n v="12"/>
    <d v="2024-03-31T00:00:00"/>
    <x v="1"/>
    <n v="1"/>
    <n v="1"/>
    <x v="32"/>
    <n v="10"/>
    <n v="9"/>
    <n v="19"/>
  </r>
  <r>
    <n v="12"/>
    <d v="2024-03-31T00:00:00"/>
    <x v="1"/>
    <n v="2"/>
    <n v="2"/>
    <x v="33"/>
    <n v="9"/>
    <n v="7"/>
    <n v="16"/>
  </r>
  <r>
    <n v="12"/>
    <d v="2024-03-31T00:00:00"/>
    <x v="1"/>
    <n v="3"/>
    <n v="3"/>
    <x v="15"/>
    <n v="8"/>
    <n v="5"/>
    <n v="13"/>
  </r>
  <r>
    <n v="12"/>
    <d v="2024-03-31T00:00:00"/>
    <x v="1"/>
    <n v="4"/>
    <n v="4"/>
    <x v="35"/>
    <n v="7"/>
    <n v="3"/>
    <n v="10"/>
  </r>
  <r>
    <n v="12"/>
    <d v="2024-03-31T00:00:00"/>
    <x v="1"/>
    <n v="5"/>
    <n v="5"/>
    <x v="37"/>
    <n v="6"/>
    <n v="1"/>
    <n v="7"/>
  </r>
  <r>
    <n v="12"/>
    <d v="2024-03-31T00:00:00"/>
    <x v="1"/>
    <n v="6"/>
    <n v="6"/>
    <x v="41"/>
    <n v="5"/>
    <n v="0"/>
    <n v="5"/>
  </r>
  <r>
    <n v="12"/>
    <d v="2024-03-31T00:00:00"/>
    <x v="1"/>
    <n v="7"/>
    <n v="7"/>
    <x v="42"/>
    <n v="4"/>
    <n v="0"/>
    <n v="4"/>
  </r>
  <r>
    <n v="12"/>
    <d v="2024-03-31T00:00:00"/>
    <x v="1"/>
    <n v="8"/>
    <n v="8"/>
    <x v="25"/>
    <n v="3"/>
    <n v="0"/>
    <n v="3"/>
  </r>
  <r>
    <n v="12"/>
    <d v="2024-03-31T00:00:00"/>
    <x v="1"/>
    <n v="9"/>
    <n v="10"/>
    <x v="43"/>
    <n v="2"/>
    <n v="0"/>
    <n v="2"/>
  </r>
  <r>
    <n v="12"/>
    <d v="2024-03-31T00:00:00"/>
    <x v="1"/>
    <n v="10"/>
    <n v="9"/>
    <x v="26"/>
    <n v="1"/>
    <n v="0"/>
    <n v="1"/>
  </r>
  <r>
    <n v="13"/>
    <d v="2024-04-07T00:00:00"/>
    <x v="0"/>
    <n v="1"/>
    <n v="1"/>
    <x v="24"/>
    <n v="10"/>
    <n v="9"/>
    <n v="19"/>
  </r>
  <r>
    <n v="13"/>
    <d v="2024-04-07T00:00:00"/>
    <x v="0"/>
    <n v="2"/>
    <n v="2"/>
    <x v="20"/>
    <n v="9"/>
    <n v="7"/>
    <n v="16"/>
  </r>
  <r>
    <n v="13"/>
    <d v="2024-04-07T00:00:00"/>
    <x v="0"/>
    <n v="3"/>
    <n v="11"/>
    <x v="8"/>
    <n v="8"/>
    <n v="5"/>
    <n v="13"/>
  </r>
  <r>
    <n v="13"/>
    <d v="2024-04-07T00:00:00"/>
    <x v="0"/>
    <n v="4"/>
    <n v="4"/>
    <x v="28"/>
    <n v="7"/>
    <n v="3"/>
    <n v="10"/>
  </r>
  <r>
    <n v="13"/>
    <d v="2024-04-07T00:00:00"/>
    <x v="0"/>
    <n v="5"/>
    <n v="5"/>
    <x v="34"/>
    <n v="6"/>
    <n v="1"/>
    <n v="7"/>
  </r>
  <r>
    <n v="13"/>
    <d v="2024-04-07T00:00:00"/>
    <x v="0"/>
    <n v="6"/>
    <n v="6"/>
    <x v="3"/>
    <n v="5"/>
    <n v="0"/>
    <n v="5"/>
  </r>
  <r>
    <n v="13"/>
    <d v="2024-04-07T00:00:00"/>
    <x v="0"/>
    <n v="7"/>
    <n v="7"/>
    <x v="30"/>
    <n v="4"/>
    <n v="0"/>
    <n v="4"/>
  </r>
  <r>
    <n v="13"/>
    <d v="2024-04-07T00:00:00"/>
    <x v="0"/>
    <n v="8"/>
    <n v="8"/>
    <x v="39"/>
    <n v="3"/>
    <n v="0"/>
    <n v="3"/>
  </r>
  <r>
    <n v="13"/>
    <d v="2024-04-07T00:00:00"/>
    <x v="0"/>
    <n v="9"/>
    <n v="9"/>
    <x v="40"/>
    <n v="2"/>
    <n v="0"/>
    <n v="2"/>
  </r>
  <r>
    <n v="13"/>
    <d v="2024-04-07T00:00:00"/>
    <x v="0"/>
    <n v="10"/>
    <n v="11"/>
    <x v="45"/>
    <n v="1"/>
    <n v="0"/>
    <n v="1"/>
  </r>
  <r>
    <n v="13"/>
    <d v="2024-04-07T00:00:00"/>
    <x v="1"/>
    <n v="1"/>
    <n v="1"/>
    <x v="32"/>
    <n v="10"/>
    <n v="9"/>
    <n v="19"/>
  </r>
  <r>
    <n v="13"/>
    <d v="2024-04-07T00:00:00"/>
    <x v="1"/>
    <n v="2"/>
    <n v="2"/>
    <x v="33"/>
    <n v="9"/>
    <n v="7"/>
    <n v="16"/>
  </r>
  <r>
    <n v="13"/>
    <d v="2024-04-07T00:00:00"/>
    <x v="1"/>
    <n v="3"/>
    <n v="3"/>
    <x v="15"/>
    <n v="8"/>
    <n v="5"/>
    <n v="13"/>
  </r>
  <r>
    <n v="13"/>
    <d v="2024-04-07T00:00:00"/>
    <x v="1"/>
    <n v="4"/>
    <n v="11"/>
    <x v="46"/>
    <n v="7"/>
    <n v="3"/>
    <n v="10"/>
  </r>
  <r>
    <n v="13"/>
    <d v="2024-04-07T00:00:00"/>
    <x v="1"/>
    <n v="5"/>
    <n v="6"/>
    <x v="41"/>
    <n v="6"/>
    <n v="1"/>
    <n v="7"/>
  </r>
  <r>
    <n v="13"/>
    <d v="2024-04-07T00:00:00"/>
    <x v="1"/>
    <n v="6"/>
    <n v="4"/>
    <x v="35"/>
    <n v="5"/>
    <n v="0"/>
    <n v="5"/>
  </r>
  <r>
    <n v="13"/>
    <d v="2024-04-07T00:00:00"/>
    <x v="1"/>
    <n v="7"/>
    <n v="7"/>
    <x v="42"/>
    <n v="4"/>
    <n v="0"/>
    <n v="4"/>
  </r>
  <r>
    <n v="13"/>
    <d v="2024-04-07T00:00:00"/>
    <x v="1"/>
    <n v="8"/>
    <n v="11"/>
    <x v="47"/>
    <n v="3"/>
    <n v="0"/>
    <n v="3"/>
  </r>
  <r>
    <n v="13"/>
    <d v="2024-04-07T00:00:00"/>
    <x v="1"/>
    <n v="9"/>
    <n v="8"/>
    <x v="25"/>
    <n v="2"/>
    <n v="0"/>
    <n v="2"/>
  </r>
  <r>
    <n v="13"/>
    <d v="2024-04-07T00:00:00"/>
    <x v="1"/>
    <n v="10"/>
    <n v="11"/>
    <x v="48"/>
    <n v="1"/>
    <n v="0"/>
    <n v="1"/>
  </r>
  <r>
    <n v="14"/>
    <d v="2024-04-14T00:00:00"/>
    <x v="0"/>
    <n v="1"/>
    <n v="1"/>
    <x v="24"/>
    <n v="10"/>
    <n v="9"/>
    <n v="19"/>
  </r>
  <r>
    <n v="14"/>
    <d v="2024-04-14T00:00:00"/>
    <x v="0"/>
    <n v="2"/>
    <n v="2"/>
    <x v="20"/>
    <n v="9"/>
    <n v="7"/>
    <n v="16"/>
  </r>
  <r>
    <n v="14"/>
    <d v="2024-04-14T00:00:00"/>
    <x v="0"/>
    <n v="3"/>
    <n v="3"/>
    <x v="8"/>
    <n v="8"/>
    <n v="5"/>
    <n v="13"/>
  </r>
  <r>
    <n v="14"/>
    <d v="2024-04-14T00:00:00"/>
    <x v="0"/>
    <n v="4"/>
    <n v="4"/>
    <x v="28"/>
    <n v="7"/>
    <n v="3"/>
    <n v="10"/>
  </r>
  <r>
    <n v="14"/>
    <d v="2024-04-14T00:00:00"/>
    <x v="0"/>
    <n v="5"/>
    <n v="11"/>
    <x v="49"/>
    <n v="6"/>
    <n v="1"/>
    <n v="7"/>
  </r>
  <r>
    <n v="14"/>
    <d v="2024-04-14T00:00:00"/>
    <x v="0"/>
    <n v="6"/>
    <n v="10"/>
    <x v="45"/>
    <n v="5"/>
    <n v="0"/>
    <n v="5"/>
  </r>
  <r>
    <n v="14"/>
    <d v="2024-04-14T00:00:00"/>
    <x v="0"/>
    <n v="7"/>
    <n v="6"/>
    <x v="3"/>
    <n v="4"/>
    <n v="0"/>
    <n v="4"/>
  </r>
  <r>
    <n v="14"/>
    <d v="2024-04-14T00:00:00"/>
    <x v="0"/>
    <n v="8"/>
    <n v="8"/>
    <x v="39"/>
    <n v="3"/>
    <n v="0"/>
    <n v="3"/>
  </r>
  <r>
    <n v="14"/>
    <d v="2024-04-14T00:00:00"/>
    <x v="0"/>
    <n v="9"/>
    <n v="9"/>
    <x v="40"/>
    <n v="2"/>
    <n v="0"/>
    <n v="2"/>
  </r>
  <r>
    <n v="14"/>
    <d v="2024-04-14T00:00:00"/>
    <x v="0"/>
    <n v="10"/>
    <n v="7"/>
    <x v="30"/>
    <n v="1"/>
    <n v="0"/>
    <n v="1"/>
  </r>
  <r>
    <n v="14"/>
    <d v="2024-04-14T00:00:00"/>
    <x v="1"/>
    <n v="1"/>
    <n v="1"/>
    <x v="32"/>
    <n v="10"/>
    <n v="9"/>
    <n v="19"/>
  </r>
  <r>
    <n v="14"/>
    <d v="2024-04-14T00:00:00"/>
    <x v="1"/>
    <n v="2"/>
    <n v="11"/>
    <x v="50"/>
    <n v="9"/>
    <n v="7"/>
    <n v="16"/>
  </r>
  <r>
    <n v="14"/>
    <d v="2024-04-14T00:00:00"/>
    <x v="1"/>
    <n v="3"/>
    <n v="2"/>
    <x v="33"/>
    <n v="8"/>
    <n v="5"/>
    <n v="13"/>
  </r>
  <r>
    <n v="14"/>
    <d v="2024-04-14T00:00:00"/>
    <x v="1"/>
    <n v="4"/>
    <n v="3"/>
    <x v="15"/>
    <n v="7"/>
    <n v="3"/>
    <n v="10"/>
  </r>
  <r>
    <n v="14"/>
    <d v="2024-04-14T00:00:00"/>
    <x v="1"/>
    <n v="5"/>
    <n v="5"/>
    <x v="41"/>
    <n v="6"/>
    <n v="1"/>
    <n v="7"/>
  </r>
  <r>
    <n v="14"/>
    <d v="2024-04-14T00:00:00"/>
    <x v="1"/>
    <n v="6"/>
    <n v="9"/>
    <x v="43"/>
    <n v="5"/>
    <n v="0"/>
    <n v="5"/>
  </r>
  <r>
    <n v="14"/>
    <d v="2024-04-14T00:00:00"/>
    <x v="1"/>
    <n v="7"/>
    <n v="7"/>
    <x v="42"/>
    <n v="4"/>
    <n v="0"/>
    <n v="4"/>
  </r>
  <r>
    <n v="14"/>
    <d v="2024-04-14T00:00:00"/>
    <x v="1"/>
    <n v="8"/>
    <n v="8"/>
    <x v="47"/>
    <n v="3"/>
    <n v="0"/>
    <n v="3"/>
  </r>
  <r>
    <n v="14"/>
    <d v="2024-04-14T00:00:00"/>
    <x v="1"/>
    <n v="9"/>
    <n v="6"/>
    <x v="35"/>
    <n v="2"/>
    <n v="0"/>
    <n v="2"/>
  </r>
  <r>
    <n v="14"/>
    <d v="2024-04-14T00:00:00"/>
    <x v="1"/>
    <n v="10"/>
    <n v="9"/>
    <x v="25"/>
    <n v="1"/>
    <n v="0"/>
    <n v="1"/>
  </r>
  <r>
    <n v="15"/>
    <d v="2024-04-21T00:00:00"/>
    <x v="0"/>
    <n v="1"/>
    <n v="3"/>
    <x v="8"/>
    <n v="10"/>
    <n v="9"/>
    <n v="19"/>
  </r>
  <r>
    <n v="15"/>
    <d v="2024-04-21T00:00:00"/>
    <x v="0"/>
    <n v="2"/>
    <n v="1"/>
    <x v="24"/>
    <n v="9"/>
    <n v="7"/>
    <n v="16"/>
  </r>
  <r>
    <n v="15"/>
    <d v="2024-04-21T00:00:00"/>
    <x v="0"/>
    <n v="3"/>
    <n v="2"/>
    <x v="20"/>
    <n v="8"/>
    <n v="5"/>
    <n v="13"/>
  </r>
  <r>
    <n v="15"/>
    <d v="2024-04-21T00:00:00"/>
    <x v="0"/>
    <n v="4"/>
    <n v="6"/>
    <x v="45"/>
    <n v="7"/>
    <n v="3"/>
    <n v="10"/>
  </r>
  <r>
    <n v="15"/>
    <d v="2024-04-21T00:00:00"/>
    <x v="0"/>
    <n v="5"/>
    <n v="5"/>
    <x v="49"/>
    <n v="6"/>
    <n v="1"/>
    <n v="7"/>
  </r>
  <r>
    <n v="15"/>
    <d v="2024-04-21T00:00:00"/>
    <x v="0"/>
    <n v="6"/>
    <n v="10"/>
    <x v="44"/>
    <n v="5"/>
    <n v="0"/>
    <n v="5"/>
  </r>
  <r>
    <n v="15"/>
    <d v="2024-04-21T00:00:00"/>
    <x v="0"/>
    <n v="7"/>
    <n v="7"/>
    <x v="3"/>
    <n v="4"/>
    <n v="0"/>
    <n v="4"/>
  </r>
  <r>
    <n v="15"/>
    <d v="2024-04-21T00:00:00"/>
    <x v="0"/>
    <n v="8"/>
    <n v="8"/>
    <x v="39"/>
    <n v="3"/>
    <n v="0"/>
    <n v="3"/>
  </r>
  <r>
    <n v="15"/>
    <d v="2024-04-21T00:00:00"/>
    <x v="0"/>
    <n v="9"/>
    <n v="9"/>
    <x v="40"/>
    <n v="2"/>
    <n v="0"/>
    <n v="2"/>
  </r>
  <r>
    <n v="15"/>
    <d v="2024-04-21T00:00:00"/>
    <x v="0"/>
    <n v="10"/>
    <n v="11"/>
    <x v="51"/>
    <n v="1"/>
    <n v="0"/>
    <n v="1"/>
  </r>
  <r>
    <n v="15"/>
    <d v="2024-04-21T00:00:00"/>
    <x v="1"/>
    <n v="1"/>
    <n v="8"/>
    <x v="47"/>
    <n v="10"/>
    <n v="9"/>
    <n v="19"/>
  </r>
  <r>
    <n v="15"/>
    <d v="2024-04-21T00:00:00"/>
    <x v="1"/>
    <n v="2"/>
    <n v="2"/>
    <x v="50"/>
    <n v="9"/>
    <n v="7"/>
    <n v="16"/>
  </r>
  <r>
    <n v="15"/>
    <d v="2024-04-21T00:00:00"/>
    <x v="1"/>
    <n v="3"/>
    <n v="1"/>
    <x v="32"/>
    <n v="8"/>
    <n v="5"/>
    <n v="13"/>
  </r>
  <r>
    <n v="15"/>
    <d v="2024-04-21T00:00:00"/>
    <x v="1"/>
    <n v="4"/>
    <n v="3"/>
    <x v="33"/>
    <n v="7"/>
    <n v="3"/>
    <n v="10"/>
  </r>
  <r>
    <n v="15"/>
    <d v="2024-04-21T00:00:00"/>
    <x v="1"/>
    <n v="5"/>
    <n v="4"/>
    <x v="15"/>
    <n v="6"/>
    <n v="1"/>
    <n v="7"/>
  </r>
  <r>
    <n v="15"/>
    <d v="2024-04-21T00:00:00"/>
    <x v="1"/>
    <n v="6"/>
    <n v="6"/>
    <x v="43"/>
    <n v="5"/>
    <n v="0"/>
    <n v="5"/>
  </r>
  <r>
    <n v="15"/>
    <d v="2024-04-21T00:00:00"/>
    <x v="1"/>
    <n v="7"/>
    <n v="10"/>
    <x v="48"/>
    <n v="4"/>
    <n v="0"/>
    <n v="4"/>
  </r>
  <r>
    <n v="15"/>
    <d v="2024-04-21T00:00:00"/>
    <x v="1"/>
    <n v="8"/>
    <n v="7"/>
    <x v="42"/>
    <n v="3"/>
    <n v="0"/>
    <n v="3"/>
  </r>
  <r>
    <n v="15"/>
    <d v="2024-04-21T00:00:00"/>
    <x v="1"/>
    <n v="9"/>
    <n v="9"/>
    <x v="35"/>
    <n v="2"/>
    <n v="0"/>
    <n v="2"/>
  </r>
  <r>
    <n v="15"/>
    <d v="2024-04-21T00:00:00"/>
    <x v="1"/>
    <n v="10"/>
    <n v="11"/>
    <x v="52"/>
    <n v="1"/>
    <n v="0"/>
    <n v="1"/>
  </r>
  <r>
    <n v="16"/>
    <d v="2024-04-28T00:00:00"/>
    <x v="0"/>
    <n v="1"/>
    <n v="1"/>
    <x v="8"/>
    <n v="10"/>
    <n v="9"/>
    <n v="19"/>
  </r>
  <r>
    <n v="16"/>
    <d v="2024-04-28T00:00:00"/>
    <x v="0"/>
    <n v="2"/>
    <n v="2"/>
    <x v="24"/>
    <n v="9"/>
    <n v="7"/>
    <n v="16"/>
  </r>
  <r>
    <n v="16"/>
    <d v="2024-04-28T00:00:00"/>
    <x v="0"/>
    <n v="3"/>
    <n v="4"/>
    <x v="45"/>
    <n v="8"/>
    <n v="5"/>
    <n v="13"/>
  </r>
  <r>
    <n v="16"/>
    <d v="2024-04-28T00:00:00"/>
    <x v="0"/>
    <n v="4"/>
    <n v="5"/>
    <x v="49"/>
    <n v="7"/>
    <n v="3"/>
    <n v="10"/>
  </r>
  <r>
    <n v="16"/>
    <d v="2024-04-28T00:00:00"/>
    <x v="0"/>
    <n v="5"/>
    <n v="3"/>
    <x v="20"/>
    <n v="6"/>
    <n v="1"/>
    <n v="7"/>
  </r>
  <r>
    <n v="16"/>
    <d v="2024-04-28T00:00:00"/>
    <x v="0"/>
    <n v="6"/>
    <n v="6"/>
    <x v="44"/>
    <n v="5"/>
    <n v="0"/>
    <n v="5"/>
  </r>
  <r>
    <n v="16"/>
    <d v="2024-04-28T00:00:00"/>
    <x v="0"/>
    <n v="7"/>
    <n v="7"/>
    <x v="3"/>
    <n v="4"/>
    <n v="0"/>
    <n v="4"/>
  </r>
  <r>
    <n v="16"/>
    <d v="2024-04-28T00:00:00"/>
    <x v="0"/>
    <n v="8"/>
    <n v="8"/>
    <x v="39"/>
    <n v="3"/>
    <n v="0"/>
    <n v="3"/>
  </r>
  <r>
    <n v="16"/>
    <d v="2024-04-28T00:00:00"/>
    <x v="0"/>
    <n v="9"/>
    <n v="9"/>
    <x v="40"/>
    <n v="2"/>
    <n v="0"/>
    <n v="2"/>
  </r>
  <r>
    <n v="16"/>
    <d v="2024-04-28T00:00:00"/>
    <x v="0"/>
    <n v="10"/>
    <n v="10"/>
    <x v="51"/>
    <n v="1"/>
    <n v="0"/>
    <n v="1"/>
  </r>
  <r>
    <n v="16"/>
    <d v="2024-04-28T00:00:00"/>
    <x v="1"/>
    <n v="1"/>
    <n v="1"/>
    <x v="47"/>
    <n v="10"/>
    <n v="9"/>
    <n v="19"/>
  </r>
  <r>
    <n v="16"/>
    <d v="2024-04-28T00:00:00"/>
    <x v="1"/>
    <n v="2"/>
    <n v="2"/>
    <x v="50"/>
    <n v="9"/>
    <n v="7"/>
    <n v="16"/>
  </r>
  <r>
    <n v="16"/>
    <d v="2024-04-28T00:00:00"/>
    <x v="1"/>
    <n v="3"/>
    <n v="4"/>
    <x v="33"/>
    <n v="8"/>
    <n v="5"/>
    <n v="13"/>
  </r>
  <r>
    <n v="16"/>
    <d v="2024-04-28T00:00:00"/>
    <x v="1"/>
    <n v="4"/>
    <n v="3"/>
    <x v="32"/>
    <n v="7"/>
    <n v="3"/>
    <n v="10"/>
  </r>
  <r>
    <n v="16"/>
    <d v="2024-04-28T00:00:00"/>
    <x v="1"/>
    <n v="5"/>
    <n v="5"/>
    <x v="15"/>
    <n v="6"/>
    <n v="1"/>
    <n v="7"/>
  </r>
  <r>
    <n v="16"/>
    <d v="2024-04-28T00:00:00"/>
    <x v="1"/>
    <n v="6"/>
    <n v="6"/>
    <x v="43"/>
    <n v="5"/>
    <n v="0"/>
    <n v="5"/>
  </r>
  <r>
    <n v="16"/>
    <d v="2024-04-28T00:00:00"/>
    <x v="1"/>
    <n v="7"/>
    <n v="7"/>
    <x v="48"/>
    <n v="4"/>
    <n v="0"/>
    <n v="4"/>
  </r>
  <r>
    <n v="16"/>
    <d v="2024-04-28T00:00:00"/>
    <x v="1"/>
    <n v="8"/>
    <n v="10"/>
    <x v="52"/>
    <n v="3"/>
    <n v="0"/>
    <n v="3"/>
  </r>
  <r>
    <n v="16"/>
    <d v="2024-04-28T00:00:00"/>
    <x v="1"/>
    <n v="9"/>
    <n v="8"/>
    <x v="42"/>
    <n v="2"/>
    <n v="0"/>
    <n v="2"/>
  </r>
  <r>
    <n v="16"/>
    <d v="2024-04-28T00:00:00"/>
    <x v="1"/>
    <n v="10"/>
    <n v="9"/>
    <x v="35"/>
    <n v="1"/>
    <n v="0"/>
    <n v="1"/>
  </r>
  <r>
    <n v="17"/>
    <d v="2024-05-05T00:00:00"/>
    <x v="0"/>
    <n v="1"/>
    <n v="1"/>
    <x v="8"/>
    <n v="10"/>
    <n v="9"/>
    <n v="19"/>
  </r>
  <r>
    <n v="17"/>
    <d v="2024-05-05T00:00:00"/>
    <x v="0"/>
    <n v="2"/>
    <n v="3"/>
    <x v="45"/>
    <n v="9"/>
    <n v="7"/>
    <n v="16"/>
  </r>
  <r>
    <n v="17"/>
    <d v="2024-05-05T00:00:00"/>
    <x v="0"/>
    <n v="3"/>
    <n v="2"/>
    <x v="24"/>
    <n v="8"/>
    <n v="5"/>
    <n v="13"/>
  </r>
  <r>
    <n v="17"/>
    <d v="2024-05-05T00:00:00"/>
    <x v="0"/>
    <n v="4"/>
    <n v="4"/>
    <x v="49"/>
    <n v="7"/>
    <n v="3"/>
    <n v="10"/>
  </r>
  <r>
    <n v="17"/>
    <d v="2024-05-05T00:00:00"/>
    <x v="0"/>
    <n v="5"/>
    <n v="5"/>
    <x v="20"/>
    <n v="6"/>
    <n v="1"/>
    <n v="7"/>
  </r>
  <r>
    <n v="17"/>
    <d v="2024-05-05T00:00:00"/>
    <x v="0"/>
    <n v="6"/>
    <n v="6"/>
    <x v="44"/>
    <n v="5"/>
    <n v="0"/>
    <n v="5"/>
  </r>
  <r>
    <n v="17"/>
    <d v="2024-05-05T00:00:00"/>
    <x v="0"/>
    <n v="7"/>
    <n v="7"/>
    <x v="3"/>
    <n v="4"/>
    <n v="0"/>
    <n v="4"/>
  </r>
  <r>
    <n v="17"/>
    <d v="2024-05-05T00:00:00"/>
    <x v="0"/>
    <n v="8"/>
    <n v="8"/>
    <x v="39"/>
    <n v="3"/>
    <n v="0"/>
    <n v="3"/>
  </r>
  <r>
    <n v="17"/>
    <d v="2024-05-05T00:00:00"/>
    <x v="0"/>
    <n v="9"/>
    <n v="10"/>
    <x v="51"/>
    <n v="2"/>
    <n v="0"/>
    <n v="2"/>
  </r>
  <r>
    <n v="17"/>
    <d v="2024-05-05T00:00:00"/>
    <x v="0"/>
    <n v="10"/>
    <n v="11"/>
    <x v="53"/>
    <n v="1"/>
    <n v="0"/>
    <n v="1"/>
  </r>
  <r>
    <n v="17"/>
    <d v="2024-05-05T00:00:00"/>
    <x v="1"/>
    <n v="1"/>
    <n v="11"/>
    <x v="54"/>
    <n v="10"/>
    <n v="9"/>
    <n v="19"/>
  </r>
  <r>
    <n v="17"/>
    <d v="2024-05-05T00:00:00"/>
    <x v="1"/>
    <n v="2"/>
    <n v="1"/>
    <x v="47"/>
    <n v="9"/>
    <n v="7"/>
    <n v="16"/>
  </r>
  <r>
    <n v="17"/>
    <d v="2024-05-05T00:00:00"/>
    <x v="1"/>
    <n v="3"/>
    <n v="2"/>
    <x v="50"/>
    <n v="8"/>
    <n v="5"/>
    <n v="13"/>
  </r>
  <r>
    <n v="17"/>
    <d v="2024-05-05T00:00:00"/>
    <x v="1"/>
    <n v="4"/>
    <n v="11"/>
    <x v="55"/>
    <n v="7"/>
    <n v="3"/>
    <n v="10"/>
  </r>
  <r>
    <n v="17"/>
    <d v="2024-05-05T00:00:00"/>
    <x v="1"/>
    <n v="5"/>
    <n v="3"/>
    <x v="33"/>
    <n v="6"/>
    <n v="1"/>
    <n v="7"/>
  </r>
  <r>
    <n v="17"/>
    <d v="2024-05-05T00:00:00"/>
    <x v="1"/>
    <n v="6"/>
    <n v="6"/>
    <x v="43"/>
    <n v="5"/>
    <n v="0"/>
    <n v="5"/>
  </r>
  <r>
    <n v="17"/>
    <d v="2024-05-05T00:00:00"/>
    <x v="1"/>
    <n v="7"/>
    <n v="5"/>
    <x v="15"/>
    <n v="4"/>
    <n v="0"/>
    <n v="4"/>
  </r>
  <r>
    <n v="17"/>
    <d v="2024-05-05T00:00:00"/>
    <x v="1"/>
    <n v="8"/>
    <n v="7"/>
    <x v="48"/>
    <n v="3"/>
    <n v="0"/>
    <n v="3"/>
  </r>
  <r>
    <n v="17"/>
    <d v="2024-05-05T00:00:00"/>
    <x v="1"/>
    <n v="9"/>
    <n v="8"/>
    <x v="52"/>
    <n v="2"/>
    <n v="0"/>
    <n v="2"/>
  </r>
  <r>
    <n v="17"/>
    <d v="2024-05-05T00:00:00"/>
    <x v="1"/>
    <n v="10"/>
    <n v="11"/>
    <x v="56"/>
    <n v="1"/>
    <n v="0"/>
    <n v="1"/>
  </r>
  <r>
    <n v="18"/>
    <d v="2024-05-12T00:00:00"/>
    <x v="0"/>
    <n v="1"/>
    <n v="1"/>
    <x v="8"/>
    <n v="10"/>
    <n v="9"/>
    <n v="19"/>
  </r>
  <r>
    <n v="18"/>
    <d v="2024-05-12T00:00:00"/>
    <x v="0"/>
    <n v="2"/>
    <n v="2"/>
    <x v="45"/>
    <n v="9"/>
    <n v="7"/>
    <n v="16"/>
  </r>
  <r>
    <n v="18"/>
    <d v="2024-05-12T00:00:00"/>
    <x v="0"/>
    <n v="3"/>
    <n v="4"/>
    <x v="49"/>
    <n v="8"/>
    <n v="5"/>
    <n v="13"/>
  </r>
  <r>
    <n v="18"/>
    <d v="2024-05-12T00:00:00"/>
    <x v="0"/>
    <n v="4"/>
    <n v="3"/>
    <x v="24"/>
    <n v="7"/>
    <n v="3"/>
    <n v="10"/>
  </r>
  <r>
    <n v="18"/>
    <d v="2024-05-12T00:00:00"/>
    <x v="0"/>
    <n v="5"/>
    <n v="6"/>
    <x v="44"/>
    <n v="6"/>
    <n v="1"/>
    <n v="7"/>
  </r>
  <r>
    <n v="18"/>
    <d v="2024-05-12T00:00:00"/>
    <x v="0"/>
    <n v="6"/>
    <n v="9"/>
    <x v="51"/>
    <n v="5"/>
    <n v="0"/>
    <n v="5"/>
  </r>
  <r>
    <n v="18"/>
    <d v="2024-05-12T00:00:00"/>
    <x v="0"/>
    <n v="7"/>
    <n v="11"/>
    <x v="57"/>
    <n v="4"/>
    <n v="0"/>
    <n v="4"/>
  </r>
  <r>
    <n v="18"/>
    <d v="2024-05-12T00:00:00"/>
    <x v="0"/>
    <n v="8"/>
    <n v="8"/>
    <x v="39"/>
    <n v="3"/>
    <n v="0"/>
    <n v="3"/>
  </r>
  <r>
    <n v="18"/>
    <d v="2024-05-12T00:00:00"/>
    <x v="0"/>
    <n v="9"/>
    <n v="11"/>
    <x v="58"/>
    <n v="2"/>
    <n v="0"/>
    <n v="2"/>
  </r>
  <r>
    <n v="18"/>
    <d v="2024-05-12T00:00:00"/>
    <x v="0"/>
    <n v="10"/>
    <n v="10"/>
    <x v="53"/>
    <n v="1"/>
    <n v="0"/>
    <n v="1"/>
  </r>
  <r>
    <n v="18"/>
    <d v="2024-05-12T00:00:00"/>
    <x v="1"/>
    <n v="1"/>
    <n v="1"/>
    <x v="54"/>
    <n v="10"/>
    <n v="9"/>
    <n v="19"/>
  </r>
  <r>
    <n v="18"/>
    <d v="2024-05-12T00:00:00"/>
    <x v="1"/>
    <n v="2"/>
    <n v="2"/>
    <x v="47"/>
    <n v="9"/>
    <n v="7"/>
    <n v="16"/>
  </r>
  <r>
    <n v="18"/>
    <d v="2024-05-12T00:00:00"/>
    <x v="1"/>
    <n v="3"/>
    <n v="3"/>
    <x v="50"/>
    <n v="8"/>
    <n v="5"/>
    <n v="13"/>
  </r>
  <r>
    <n v="18"/>
    <d v="2024-05-12T00:00:00"/>
    <x v="1"/>
    <n v="4"/>
    <n v="4"/>
    <x v="55"/>
    <n v="7"/>
    <n v="3"/>
    <n v="10"/>
  </r>
  <r>
    <n v="18"/>
    <d v="2024-05-12T00:00:00"/>
    <x v="1"/>
    <n v="5"/>
    <n v="5"/>
    <x v="33"/>
    <n v="6"/>
    <n v="1"/>
    <n v="7"/>
  </r>
  <r>
    <n v="18"/>
    <d v="2024-05-12T00:00:00"/>
    <x v="1"/>
    <n v="6"/>
    <n v="6"/>
    <x v="43"/>
    <n v="5"/>
    <n v="0"/>
    <n v="5"/>
  </r>
  <r>
    <n v="18"/>
    <d v="2024-05-12T00:00:00"/>
    <x v="1"/>
    <n v="7"/>
    <n v="7"/>
    <x v="15"/>
    <n v="4"/>
    <n v="0"/>
    <n v="4"/>
  </r>
  <r>
    <n v="18"/>
    <d v="2024-05-12T00:00:00"/>
    <x v="1"/>
    <n v="8"/>
    <n v="8"/>
    <x v="48"/>
    <n v="3"/>
    <n v="0"/>
    <n v="3"/>
  </r>
  <r>
    <n v="18"/>
    <d v="2024-05-12T00:00:00"/>
    <x v="1"/>
    <n v="9"/>
    <n v="10"/>
    <x v="56"/>
    <n v="2"/>
    <n v="0"/>
    <n v="2"/>
  </r>
  <r>
    <n v="18"/>
    <d v="2024-05-12T00:00:00"/>
    <x v="1"/>
    <n v="10"/>
    <n v="9"/>
    <x v="52"/>
    <n v="1"/>
    <n v="0"/>
    <n v="1"/>
  </r>
  <r>
    <n v="19"/>
    <d v="2024-05-19T00:00:00"/>
    <x v="0"/>
    <n v="1"/>
    <n v="2"/>
    <x v="45"/>
    <n v="10"/>
    <n v="9"/>
    <n v="19"/>
  </r>
  <r>
    <n v="19"/>
    <d v="2024-05-19T00:00:00"/>
    <x v="0"/>
    <n v="2"/>
    <n v="1"/>
    <x v="8"/>
    <n v="9"/>
    <n v="7"/>
    <n v="16"/>
  </r>
  <r>
    <n v="19"/>
    <d v="2024-05-19T00:00:00"/>
    <x v="0"/>
    <n v="3"/>
    <n v="3"/>
    <x v="49"/>
    <n v="8"/>
    <n v="5"/>
    <n v="13"/>
  </r>
  <r>
    <n v="19"/>
    <d v="2024-05-19T00:00:00"/>
    <x v="0"/>
    <n v="4"/>
    <n v="4"/>
    <x v="24"/>
    <n v="7"/>
    <n v="3"/>
    <n v="10"/>
  </r>
  <r>
    <n v="19"/>
    <d v="2024-05-19T00:00:00"/>
    <x v="0"/>
    <n v="5"/>
    <n v="5"/>
    <x v="44"/>
    <n v="6"/>
    <n v="1"/>
    <n v="7"/>
  </r>
  <r>
    <n v="19"/>
    <d v="2024-05-19T00:00:00"/>
    <x v="0"/>
    <n v="6"/>
    <n v="6"/>
    <x v="51"/>
    <n v="5"/>
    <n v="0"/>
    <n v="5"/>
  </r>
  <r>
    <n v="19"/>
    <d v="2024-05-19T00:00:00"/>
    <x v="0"/>
    <n v="7"/>
    <n v="7"/>
    <x v="57"/>
    <n v="4"/>
    <n v="0"/>
    <n v="4"/>
  </r>
  <r>
    <n v="19"/>
    <d v="2024-05-19T00:00:00"/>
    <x v="0"/>
    <n v="8"/>
    <n v="9"/>
    <x v="58"/>
    <n v="3"/>
    <n v="0"/>
    <n v="3"/>
  </r>
  <r>
    <n v="19"/>
    <d v="2024-05-19T00:00:00"/>
    <x v="0"/>
    <n v="9"/>
    <n v="10"/>
    <x v="53"/>
    <n v="2"/>
    <n v="0"/>
    <n v="2"/>
  </r>
  <r>
    <n v="19"/>
    <d v="2024-05-19T00:00:00"/>
    <x v="0"/>
    <n v="10"/>
    <n v="8"/>
    <x v="39"/>
    <n v="1"/>
    <n v="0"/>
    <n v="1"/>
  </r>
  <r>
    <n v="19"/>
    <d v="2024-05-19T00:00:00"/>
    <x v="1"/>
    <n v="1"/>
    <n v="1"/>
    <x v="54"/>
    <n v="10"/>
    <n v="9"/>
    <n v="19"/>
  </r>
  <r>
    <n v="19"/>
    <d v="2024-05-19T00:00:00"/>
    <x v="1"/>
    <n v="2"/>
    <n v="2"/>
    <x v="47"/>
    <n v="9"/>
    <n v="7"/>
    <n v="16"/>
  </r>
  <r>
    <n v="19"/>
    <d v="2024-05-19T00:00:00"/>
    <x v="1"/>
    <n v="3"/>
    <n v="3"/>
    <x v="50"/>
    <n v="8"/>
    <n v="5"/>
    <n v="13"/>
  </r>
  <r>
    <n v="19"/>
    <d v="2024-05-19T00:00:00"/>
    <x v="1"/>
    <n v="4"/>
    <n v="4"/>
    <x v="55"/>
    <n v="7"/>
    <n v="3"/>
    <n v="10"/>
  </r>
  <r>
    <n v="19"/>
    <d v="2024-05-19T00:00:00"/>
    <x v="1"/>
    <n v="5"/>
    <n v="5"/>
    <x v="33"/>
    <n v="6"/>
    <n v="1"/>
    <n v="7"/>
  </r>
  <r>
    <n v="19"/>
    <d v="2024-05-19T00:00:00"/>
    <x v="1"/>
    <n v="6"/>
    <n v="6"/>
    <x v="43"/>
    <n v="5"/>
    <n v="0"/>
    <n v="5"/>
  </r>
  <r>
    <n v="19"/>
    <d v="2024-05-19T00:00:00"/>
    <x v="1"/>
    <n v="7"/>
    <n v="11"/>
    <x v="59"/>
    <n v="4"/>
    <n v="0"/>
    <n v="4"/>
  </r>
  <r>
    <n v="19"/>
    <d v="2024-05-19T00:00:00"/>
    <x v="1"/>
    <n v="8"/>
    <n v="8"/>
    <x v="48"/>
    <n v="3"/>
    <n v="0"/>
    <n v="3"/>
  </r>
  <r>
    <n v="19"/>
    <d v="2024-05-19T00:00:00"/>
    <x v="1"/>
    <n v="9"/>
    <n v="9"/>
    <x v="56"/>
    <n v="2"/>
    <n v="0"/>
    <n v="2"/>
  </r>
  <r>
    <n v="19"/>
    <d v="2024-05-19T00:00:00"/>
    <x v="1"/>
    <n v="10"/>
    <n v="10"/>
    <x v="52"/>
    <n v="1"/>
    <n v="0"/>
    <n v="1"/>
  </r>
  <r>
    <n v="20"/>
    <d v="2024-06-09T00:00:00"/>
    <x v="0"/>
    <n v="1"/>
    <n v="1"/>
    <x v="45"/>
    <n v="10"/>
    <n v="9"/>
    <n v="19"/>
  </r>
  <r>
    <n v="20"/>
    <d v="2024-06-09T00:00:00"/>
    <x v="0"/>
    <n v="2"/>
    <n v="2"/>
    <x v="8"/>
    <n v="9"/>
    <n v="7"/>
    <n v="16"/>
  </r>
  <r>
    <n v="20"/>
    <d v="2024-06-09T00:00:00"/>
    <x v="0"/>
    <n v="3"/>
    <n v="3"/>
    <x v="49"/>
    <n v="8"/>
    <n v="5"/>
    <n v="13"/>
  </r>
  <r>
    <n v="20"/>
    <d v="2024-06-09T00:00:00"/>
    <x v="0"/>
    <n v="4"/>
    <n v="4"/>
    <x v="24"/>
    <n v="7"/>
    <n v="3"/>
    <n v="10"/>
  </r>
  <r>
    <n v="20"/>
    <d v="2024-06-09T00:00:00"/>
    <x v="0"/>
    <n v="5"/>
    <n v="5"/>
    <x v="44"/>
    <n v="6"/>
    <n v="1"/>
    <n v="7"/>
  </r>
  <r>
    <n v="20"/>
    <d v="2024-06-09T00:00:00"/>
    <x v="0"/>
    <n v="6"/>
    <n v="6"/>
    <x v="51"/>
    <n v="5"/>
    <n v="0"/>
    <n v="5"/>
  </r>
  <r>
    <n v="20"/>
    <d v="2024-06-09T00:00:00"/>
    <x v="0"/>
    <n v="7"/>
    <n v="7"/>
    <x v="57"/>
    <n v="4"/>
    <n v="0"/>
    <n v="4"/>
  </r>
  <r>
    <n v="20"/>
    <d v="2024-06-09T00:00:00"/>
    <x v="0"/>
    <n v="8"/>
    <n v="8"/>
    <x v="58"/>
    <n v="3"/>
    <n v="0"/>
    <n v="3"/>
  </r>
  <r>
    <n v="20"/>
    <d v="2024-06-09T00:00:00"/>
    <x v="0"/>
    <n v="9"/>
    <n v="9"/>
    <x v="53"/>
    <n v="2"/>
    <n v="0"/>
    <n v="2"/>
  </r>
  <r>
    <n v="20"/>
    <d v="2024-06-09T00:00:00"/>
    <x v="0"/>
    <n v="10"/>
    <n v="10"/>
    <x v="39"/>
    <n v="1"/>
    <n v="0"/>
    <n v="1"/>
  </r>
  <r>
    <n v="20"/>
    <d v="2024-06-09T00:00:00"/>
    <x v="1"/>
    <n v="1"/>
    <n v="1"/>
    <x v="54"/>
    <n v="10"/>
    <n v="9"/>
    <n v="19"/>
  </r>
  <r>
    <n v="20"/>
    <d v="2024-06-09T00:00:00"/>
    <x v="1"/>
    <n v="2"/>
    <n v="2"/>
    <x v="47"/>
    <n v="9"/>
    <n v="7"/>
    <n v="16"/>
  </r>
  <r>
    <n v="20"/>
    <d v="2024-06-09T00:00:00"/>
    <x v="1"/>
    <n v="3"/>
    <n v="3"/>
    <x v="50"/>
    <n v="8"/>
    <n v="5"/>
    <n v="13"/>
  </r>
  <r>
    <n v="20"/>
    <d v="2024-06-09T00:00:00"/>
    <x v="1"/>
    <n v="4"/>
    <n v="4"/>
    <x v="55"/>
    <n v="7"/>
    <n v="3"/>
    <n v="10"/>
  </r>
  <r>
    <n v="20"/>
    <d v="2024-06-09T00:00:00"/>
    <x v="1"/>
    <n v="5"/>
    <n v="5"/>
    <x v="33"/>
    <n v="6"/>
    <n v="1"/>
    <n v="7"/>
  </r>
  <r>
    <n v="20"/>
    <d v="2024-06-09T00:00:00"/>
    <x v="1"/>
    <n v="6"/>
    <n v="6"/>
    <x v="43"/>
    <n v="5"/>
    <n v="0"/>
    <n v="5"/>
  </r>
  <r>
    <n v="20"/>
    <d v="2024-06-09T00:00:00"/>
    <x v="1"/>
    <n v="7"/>
    <n v="7"/>
    <x v="59"/>
    <n v="4"/>
    <n v="0"/>
    <n v="4"/>
  </r>
  <r>
    <n v="20"/>
    <d v="2024-06-09T00:00:00"/>
    <x v="1"/>
    <n v="8"/>
    <n v="8"/>
    <x v="48"/>
    <n v="3"/>
    <n v="0"/>
    <n v="3"/>
  </r>
  <r>
    <n v="20"/>
    <d v="2024-06-09T00:00:00"/>
    <x v="1"/>
    <n v="9"/>
    <n v="9"/>
    <x v="56"/>
    <n v="2"/>
    <n v="0"/>
    <n v="2"/>
  </r>
  <r>
    <n v="20"/>
    <d v="2024-06-09T00:00:00"/>
    <x v="1"/>
    <n v="10"/>
    <n v="10"/>
    <x v="52"/>
    <n v="1"/>
    <n v="0"/>
    <n v="1"/>
  </r>
  <r>
    <n v="23"/>
    <d v="2024-06-30T00:00:00"/>
    <x v="0"/>
    <n v="1"/>
    <n v="1"/>
    <x v="45"/>
    <n v="10"/>
    <n v="9"/>
    <n v="19"/>
  </r>
  <r>
    <n v="23"/>
    <d v="2024-06-30T00:00:00"/>
    <x v="0"/>
    <n v="2"/>
    <n v="2"/>
    <x v="8"/>
    <n v="9"/>
    <n v="7"/>
    <n v="16"/>
  </r>
  <r>
    <n v="23"/>
    <d v="2024-06-30T00:00:00"/>
    <x v="0"/>
    <n v="3"/>
    <n v="4"/>
    <x v="24"/>
    <n v="8"/>
    <n v="5"/>
    <n v="13"/>
  </r>
  <r>
    <n v="23"/>
    <d v="2024-06-30T00:00:00"/>
    <x v="0"/>
    <n v="4"/>
    <n v="3"/>
    <x v="49"/>
    <n v="7"/>
    <n v="3"/>
    <n v="10"/>
  </r>
  <r>
    <n v="23"/>
    <d v="2024-06-30T00:00:00"/>
    <x v="0"/>
    <n v="5"/>
    <n v="7"/>
    <x v="57"/>
    <n v="6"/>
    <n v="1"/>
    <n v="7"/>
  </r>
  <r>
    <n v="23"/>
    <d v="2024-06-30T00:00:00"/>
    <x v="0"/>
    <n v="6"/>
    <n v="8"/>
    <x v="58"/>
    <n v="5"/>
    <n v="0"/>
    <n v="5"/>
  </r>
  <r>
    <n v="23"/>
    <d v="2024-06-30T00:00:00"/>
    <x v="0"/>
    <n v="7"/>
    <n v="9"/>
    <x v="53"/>
    <n v="4"/>
    <n v="0"/>
    <n v="4"/>
  </r>
  <r>
    <n v="23"/>
    <d v="2024-06-30T00:00:00"/>
    <x v="0"/>
    <n v="8"/>
    <n v="5"/>
    <x v="44"/>
    <n v="3"/>
    <n v="0"/>
    <n v="3"/>
  </r>
  <r>
    <n v="23"/>
    <d v="2024-06-30T00:00:00"/>
    <x v="0"/>
    <n v="9"/>
    <n v="6"/>
    <x v="51"/>
    <n v="2"/>
    <n v="0"/>
    <n v="2"/>
  </r>
  <r>
    <n v="23"/>
    <d v="2024-06-30T00:00:00"/>
    <x v="0"/>
    <n v="10"/>
    <n v="10"/>
    <x v="39"/>
    <n v="1"/>
    <n v="0"/>
    <n v="1"/>
  </r>
  <r>
    <n v="23"/>
    <d v="2024-06-30T00:00:00"/>
    <x v="1"/>
    <n v="1"/>
    <n v="2"/>
    <x v="47"/>
    <n v="10"/>
    <n v="9"/>
    <n v="19"/>
  </r>
  <r>
    <n v="23"/>
    <d v="2024-06-30T00:00:00"/>
    <x v="1"/>
    <n v="2"/>
    <n v="4"/>
    <x v="55"/>
    <n v="9"/>
    <n v="7"/>
    <n v="16"/>
  </r>
  <r>
    <n v="23"/>
    <d v="2024-06-30T00:00:00"/>
    <x v="1"/>
    <n v="3"/>
    <n v="1"/>
    <x v="54"/>
    <n v="8"/>
    <n v="5"/>
    <n v="13"/>
  </r>
  <r>
    <n v="23"/>
    <d v="2024-06-30T00:00:00"/>
    <x v="1"/>
    <n v="4"/>
    <n v="3"/>
    <x v="50"/>
    <n v="7"/>
    <n v="3"/>
    <n v="10"/>
  </r>
  <r>
    <n v="23"/>
    <d v="2024-06-30T00:00:00"/>
    <x v="1"/>
    <n v="5"/>
    <n v="9"/>
    <x v="56"/>
    <n v="6"/>
    <n v="1"/>
    <n v="7"/>
  </r>
  <r>
    <n v="23"/>
    <d v="2024-06-30T00:00:00"/>
    <x v="1"/>
    <n v="6"/>
    <n v="8"/>
    <x v="48"/>
    <n v="5"/>
    <n v="0"/>
    <n v="5"/>
  </r>
  <r>
    <n v="23"/>
    <d v="2024-06-30T00:00:00"/>
    <x v="1"/>
    <n v="7"/>
    <n v="6"/>
    <x v="43"/>
    <n v="4"/>
    <n v="0"/>
    <n v="4"/>
  </r>
  <r>
    <n v="23"/>
    <d v="2024-06-30T00:00:00"/>
    <x v="1"/>
    <n v="8"/>
    <n v="10"/>
    <x v="52"/>
    <n v="3"/>
    <n v="0"/>
    <n v="3"/>
  </r>
  <r>
    <n v="23"/>
    <d v="2024-06-30T00:00:00"/>
    <x v="1"/>
    <n v="9"/>
    <n v="5"/>
    <x v="33"/>
    <n v="2"/>
    <n v="0"/>
    <n v="2"/>
  </r>
  <r>
    <n v="23"/>
    <d v="2024-06-30T00:00:00"/>
    <x v="1"/>
    <n v="10"/>
    <n v="11"/>
    <x v="60"/>
    <n v="1"/>
    <n v="0"/>
    <n v="1"/>
  </r>
  <r>
    <n v="24"/>
    <d v="2024-07-14T00:00:00"/>
    <x v="0"/>
    <n v="1"/>
    <n v="4"/>
    <x v="49"/>
    <n v="10"/>
    <n v="9"/>
    <n v="19"/>
  </r>
  <r>
    <n v="24"/>
    <d v="2024-07-14T00:00:00"/>
    <x v="0"/>
    <n v="2"/>
    <n v="1"/>
    <x v="45"/>
    <n v="9"/>
    <n v="7"/>
    <n v="16"/>
  </r>
  <r>
    <n v="24"/>
    <d v="2024-07-14T00:00:00"/>
    <x v="0"/>
    <n v="3"/>
    <n v="2"/>
    <x v="8"/>
    <n v="8"/>
    <n v="5"/>
    <n v="13"/>
  </r>
  <r>
    <n v="24"/>
    <d v="2024-07-14T00:00:00"/>
    <x v="0"/>
    <n v="4"/>
    <n v="7"/>
    <x v="53"/>
    <n v="7"/>
    <n v="3"/>
    <n v="10"/>
  </r>
  <r>
    <n v="24"/>
    <d v="2024-07-14T00:00:00"/>
    <x v="0"/>
    <n v="5"/>
    <n v="5"/>
    <x v="57"/>
    <n v="6"/>
    <n v="1"/>
    <n v="7"/>
  </r>
  <r>
    <n v="24"/>
    <d v="2024-07-14T00:00:00"/>
    <x v="0"/>
    <n v="6"/>
    <n v="8"/>
    <x v="44"/>
    <n v="5"/>
    <n v="0"/>
    <n v="5"/>
  </r>
  <r>
    <n v="24"/>
    <d v="2024-07-14T00:00:00"/>
    <x v="0"/>
    <n v="7"/>
    <n v="9"/>
    <x v="51"/>
    <n v="4"/>
    <n v="0"/>
    <n v="4"/>
  </r>
  <r>
    <n v="24"/>
    <d v="2024-07-14T00:00:00"/>
    <x v="0"/>
    <n v="8"/>
    <n v="11"/>
    <x v="61"/>
    <n v="3"/>
    <n v="0"/>
    <n v="3"/>
  </r>
  <r>
    <n v="24"/>
    <d v="2024-07-14T00:00:00"/>
    <x v="0"/>
    <n v="9"/>
    <n v="3"/>
    <x v="24"/>
    <n v="2"/>
    <n v="0"/>
    <n v="2"/>
  </r>
  <r>
    <n v="24"/>
    <d v="2024-07-14T00:00:00"/>
    <x v="0"/>
    <n v="10"/>
    <n v="10"/>
    <x v="39"/>
    <n v="1"/>
    <n v="0"/>
    <n v="1"/>
  </r>
  <r>
    <n v="24"/>
    <d v="2024-07-14T00:00:00"/>
    <x v="1"/>
    <n v="1"/>
    <n v="1"/>
    <x v="47"/>
    <n v="10"/>
    <n v="9"/>
    <n v="19"/>
  </r>
  <r>
    <n v="24"/>
    <d v="2024-07-14T00:00:00"/>
    <x v="1"/>
    <n v="2"/>
    <n v="3"/>
    <x v="54"/>
    <n v="9"/>
    <n v="7"/>
    <n v="16"/>
  </r>
  <r>
    <n v="24"/>
    <d v="2024-07-14T00:00:00"/>
    <x v="1"/>
    <n v="3"/>
    <n v="2"/>
    <x v="55"/>
    <n v="8"/>
    <n v="5"/>
    <n v="13"/>
  </r>
  <r>
    <n v="24"/>
    <d v="2024-07-14T00:00:00"/>
    <x v="1"/>
    <n v="4"/>
    <n v="5"/>
    <x v="56"/>
    <n v="7"/>
    <n v="3"/>
    <n v="10"/>
  </r>
  <r>
    <n v="24"/>
    <d v="2024-07-14T00:00:00"/>
    <x v="1"/>
    <n v="5"/>
    <n v="4"/>
    <x v="50"/>
    <n v="6"/>
    <n v="1"/>
    <n v="7"/>
  </r>
  <r>
    <n v="24"/>
    <d v="2024-07-14T00:00:00"/>
    <x v="1"/>
    <n v="6"/>
    <n v="6"/>
    <x v="48"/>
    <n v="5"/>
    <n v="0"/>
    <n v="5"/>
  </r>
  <r>
    <n v="24"/>
    <d v="2024-07-14T00:00:00"/>
    <x v="1"/>
    <n v="7"/>
    <n v="7"/>
    <x v="43"/>
    <n v="4"/>
    <n v="0"/>
    <n v="4"/>
  </r>
  <r>
    <n v="24"/>
    <d v="2024-07-14T00:00:00"/>
    <x v="1"/>
    <n v="8"/>
    <n v="11"/>
    <x v="62"/>
    <n v="3"/>
    <n v="0"/>
    <n v="3"/>
  </r>
  <r>
    <n v="24"/>
    <d v="2024-07-14T00:00:00"/>
    <x v="1"/>
    <n v="9"/>
    <n v="10"/>
    <x v="60"/>
    <n v="2"/>
    <n v="0"/>
    <n v="2"/>
  </r>
  <r>
    <n v="24"/>
    <d v="2024-07-14T00:00:00"/>
    <x v="1"/>
    <n v="10"/>
    <n v="9"/>
    <x v="33"/>
    <n v="1"/>
    <n v="0"/>
    <n v="1"/>
  </r>
  <r>
    <n v="25"/>
    <d v="2024-07-28T00:00:00"/>
    <x v="0"/>
    <n v="1"/>
    <n v="1"/>
    <x v="49"/>
    <n v="10"/>
    <n v="9"/>
    <n v="19"/>
  </r>
  <r>
    <n v="25"/>
    <d v="2024-07-28T00:00:00"/>
    <x v="0"/>
    <n v="2"/>
    <n v="2"/>
    <x v="45"/>
    <n v="9"/>
    <n v="7"/>
    <n v="16"/>
  </r>
  <r>
    <n v="25"/>
    <d v="2024-07-28T00:00:00"/>
    <x v="0"/>
    <n v="3"/>
    <n v="8"/>
    <x v="61"/>
    <n v="8"/>
    <n v="5"/>
    <n v="13"/>
  </r>
  <r>
    <n v="25"/>
    <d v="2024-07-28T00:00:00"/>
    <x v="0"/>
    <n v="4"/>
    <n v="3"/>
    <x v="8"/>
    <n v="7"/>
    <n v="3"/>
    <n v="10"/>
  </r>
  <r>
    <n v="25"/>
    <d v="2024-07-28T00:00:00"/>
    <x v="0"/>
    <n v="5"/>
    <n v="5"/>
    <x v="57"/>
    <n v="6"/>
    <n v="1"/>
    <n v="7"/>
  </r>
  <r>
    <n v="25"/>
    <d v="2024-07-28T00:00:00"/>
    <x v="0"/>
    <n v="6"/>
    <n v="4"/>
    <x v="53"/>
    <n v="5"/>
    <n v="0"/>
    <n v="5"/>
  </r>
  <r>
    <n v="25"/>
    <d v="2024-07-28T00:00:00"/>
    <x v="0"/>
    <n v="7"/>
    <n v="7"/>
    <x v="51"/>
    <n v="4"/>
    <n v="0"/>
    <n v="4"/>
  </r>
  <r>
    <n v="25"/>
    <d v="2024-07-28T00:00:00"/>
    <x v="0"/>
    <n v="8"/>
    <n v="6"/>
    <x v="44"/>
    <n v="3"/>
    <n v="0"/>
    <n v="3"/>
  </r>
  <r>
    <n v="25"/>
    <d v="2024-07-28T00:00:00"/>
    <x v="0"/>
    <n v="9"/>
    <n v="11"/>
    <x v="21"/>
    <n v="2"/>
    <n v="0"/>
    <n v="2"/>
  </r>
  <r>
    <n v="25"/>
    <d v="2024-07-28T00:00:00"/>
    <x v="0"/>
    <n v="10"/>
    <n v="11"/>
    <x v="28"/>
    <n v="1"/>
    <n v="0"/>
    <n v="1"/>
  </r>
  <r>
    <n v="25"/>
    <d v="2024-07-28T00:00:00"/>
    <x v="1"/>
    <n v="1"/>
    <n v="1"/>
    <x v="47"/>
    <n v="10"/>
    <n v="9"/>
    <n v="19"/>
  </r>
  <r>
    <n v="25"/>
    <d v="2024-07-28T00:00:00"/>
    <x v="1"/>
    <n v="2"/>
    <n v="2"/>
    <x v="54"/>
    <n v="9"/>
    <n v="7"/>
    <n v="16"/>
  </r>
  <r>
    <n v="25"/>
    <d v="2024-07-28T00:00:00"/>
    <x v="1"/>
    <n v="3"/>
    <n v="4"/>
    <x v="56"/>
    <n v="8"/>
    <n v="5"/>
    <n v="13"/>
  </r>
  <r>
    <n v="25"/>
    <d v="2024-07-28T00:00:00"/>
    <x v="1"/>
    <n v="4"/>
    <n v="3"/>
    <x v="55"/>
    <n v="7"/>
    <n v="3"/>
    <n v="10"/>
  </r>
  <r>
    <n v="25"/>
    <d v="2024-07-28T00:00:00"/>
    <x v="1"/>
    <n v="5"/>
    <n v="8"/>
    <x v="62"/>
    <n v="6"/>
    <n v="1"/>
    <n v="7"/>
  </r>
  <r>
    <n v="25"/>
    <d v="2024-07-28T00:00:00"/>
    <x v="1"/>
    <n v="6"/>
    <n v="9"/>
    <x v="60"/>
    <n v="5"/>
    <n v="0"/>
    <n v="5"/>
  </r>
  <r>
    <n v="25"/>
    <d v="2024-07-28T00:00:00"/>
    <x v="1"/>
    <n v="7"/>
    <n v="6"/>
    <x v="48"/>
    <n v="4"/>
    <n v="0"/>
    <n v="4"/>
  </r>
  <r>
    <n v="25"/>
    <d v="2024-07-28T00:00:00"/>
    <x v="1"/>
    <n v="8"/>
    <n v="11"/>
    <x v="63"/>
    <n v="3"/>
    <n v="0"/>
    <n v="3"/>
  </r>
  <r>
    <n v="25"/>
    <d v="2024-07-28T00:00:00"/>
    <x v="1"/>
    <n v="9"/>
    <n v="5"/>
    <x v="50"/>
    <n v="2"/>
    <n v="0"/>
    <n v="2"/>
  </r>
  <r>
    <n v="25"/>
    <d v="2024-07-28T00:00:00"/>
    <x v="1"/>
    <n v="10"/>
    <n v="11"/>
    <x v="64"/>
    <n v="1"/>
    <n v="0"/>
    <n v="1"/>
  </r>
  <r>
    <n v="26"/>
    <d v="2024-08-04T00:00:00"/>
    <x v="0"/>
    <n v="1"/>
    <n v="3"/>
    <x v="61"/>
    <n v="10"/>
    <n v="9"/>
    <n v="19"/>
  </r>
  <r>
    <n v="26"/>
    <d v="2024-08-04T00:00:00"/>
    <x v="0"/>
    <n v="2"/>
    <n v="2"/>
    <x v="45"/>
    <n v="9"/>
    <n v="7"/>
    <n v="16"/>
  </r>
  <r>
    <n v="26"/>
    <d v="2024-08-04T00:00:00"/>
    <x v="0"/>
    <n v="3"/>
    <n v="7"/>
    <x v="51"/>
    <n v="8"/>
    <n v="5"/>
    <n v="13"/>
  </r>
  <r>
    <n v="26"/>
    <d v="2024-08-04T00:00:00"/>
    <x v="0"/>
    <n v="4"/>
    <n v="5"/>
    <x v="57"/>
    <n v="7"/>
    <n v="3"/>
    <n v="10"/>
  </r>
  <r>
    <n v="26"/>
    <d v="2024-08-04T00:00:00"/>
    <x v="0"/>
    <n v="5"/>
    <n v="4"/>
    <x v="8"/>
    <n v="6"/>
    <n v="1"/>
    <n v="7"/>
  </r>
  <r>
    <n v="26"/>
    <d v="2024-08-04T00:00:00"/>
    <x v="0"/>
    <n v="6"/>
    <n v="1"/>
    <x v="49"/>
    <n v="5"/>
    <n v="0"/>
    <n v="5"/>
  </r>
  <r>
    <n v="26"/>
    <d v="2024-08-04T00:00:00"/>
    <x v="0"/>
    <n v="7"/>
    <n v="10"/>
    <x v="28"/>
    <n v="4"/>
    <n v="0"/>
    <n v="4"/>
  </r>
  <r>
    <n v="26"/>
    <d v="2024-08-04T00:00:00"/>
    <x v="0"/>
    <n v="8"/>
    <n v="11"/>
    <x v="65"/>
    <n v="3"/>
    <n v="0"/>
    <n v="3"/>
  </r>
  <r>
    <n v="26"/>
    <d v="2024-08-04T00:00:00"/>
    <x v="0"/>
    <n v="9"/>
    <n v="9"/>
    <x v="21"/>
    <n v="2"/>
    <n v="0"/>
    <n v="2"/>
  </r>
  <r>
    <n v="26"/>
    <d v="2024-08-04T00:00:00"/>
    <x v="0"/>
    <n v="10"/>
    <n v="6"/>
    <x v="53"/>
    <n v="1"/>
    <n v="0"/>
    <n v="1"/>
  </r>
  <r>
    <n v="26"/>
    <d v="2024-08-04T00:00:00"/>
    <x v="1"/>
    <n v="1"/>
    <n v="5"/>
    <x v="62"/>
    <n v="10"/>
    <n v="9"/>
    <n v="19"/>
  </r>
  <r>
    <n v="26"/>
    <d v="2024-08-04T00:00:00"/>
    <x v="1"/>
    <n v="2"/>
    <n v="2"/>
    <x v="54"/>
    <n v="9"/>
    <n v="7"/>
    <n v="16"/>
  </r>
  <r>
    <n v="26"/>
    <d v="2024-08-04T00:00:00"/>
    <x v="1"/>
    <n v="3"/>
    <n v="8"/>
    <x v="63"/>
    <n v="8"/>
    <n v="5"/>
    <n v="13"/>
  </r>
  <r>
    <n v="26"/>
    <d v="2024-08-04T00:00:00"/>
    <x v="1"/>
    <n v="4"/>
    <n v="6"/>
    <x v="60"/>
    <n v="7"/>
    <n v="3"/>
    <n v="10"/>
  </r>
  <r>
    <n v="26"/>
    <d v="2024-08-04T00:00:00"/>
    <x v="1"/>
    <n v="5"/>
    <n v="10"/>
    <x v="64"/>
    <n v="6"/>
    <n v="1"/>
    <n v="7"/>
  </r>
  <r>
    <n v="26"/>
    <d v="2024-08-04T00:00:00"/>
    <x v="1"/>
    <n v="6"/>
    <n v="1"/>
    <x v="47"/>
    <n v="5"/>
    <n v="0"/>
    <n v="5"/>
  </r>
  <r>
    <n v="26"/>
    <d v="2024-08-04T00:00:00"/>
    <x v="1"/>
    <n v="7"/>
    <n v="11"/>
    <x v="66"/>
    <n v="4"/>
    <n v="0"/>
    <n v="4"/>
  </r>
  <r>
    <n v="26"/>
    <d v="2024-08-04T00:00:00"/>
    <x v="1"/>
    <n v="8"/>
    <n v="4"/>
    <x v="55"/>
    <n v="3"/>
    <n v="0"/>
    <n v="3"/>
  </r>
  <r>
    <n v="26"/>
    <d v="2024-08-04T00:00:00"/>
    <x v="1"/>
    <n v="9"/>
    <n v="11"/>
    <x v="46"/>
    <n v="2"/>
    <n v="0"/>
    <n v="2"/>
  </r>
  <r>
    <n v="26"/>
    <d v="2024-08-04T00:00:00"/>
    <x v="1"/>
    <n v="10"/>
    <n v="3"/>
    <x v="56"/>
    <n v="1"/>
    <n v="0"/>
    <n v="1"/>
  </r>
  <r>
    <n v="27"/>
    <d v="2024-08-11T00:00:00"/>
    <x v="0"/>
    <n v="1"/>
    <n v="1"/>
    <x v="61"/>
    <n v="10"/>
    <n v="9"/>
    <n v="19"/>
  </r>
  <r>
    <n v="27"/>
    <d v="2024-08-11T00:00:00"/>
    <x v="0"/>
    <n v="2"/>
    <n v="3"/>
    <x v="51"/>
    <n v="9"/>
    <n v="7"/>
    <n v="16"/>
  </r>
  <r>
    <n v="27"/>
    <d v="2024-08-11T00:00:00"/>
    <x v="0"/>
    <n v="3"/>
    <n v="2"/>
    <x v="45"/>
    <n v="8"/>
    <n v="5"/>
    <n v="13"/>
  </r>
  <r>
    <n v="27"/>
    <d v="2024-08-11T00:00:00"/>
    <x v="0"/>
    <n v="4"/>
    <n v="4"/>
    <x v="57"/>
    <n v="7"/>
    <n v="3"/>
    <n v="10"/>
  </r>
  <r>
    <n v="27"/>
    <d v="2024-08-11T00:00:00"/>
    <x v="0"/>
    <n v="5"/>
    <n v="8"/>
    <x v="65"/>
    <n v="6"/>
    <n v="1"/>
    <n v="7"/>
  </r>
  <r>
    <n v="27"/>
    <d v="2024-08-11T00:00:00"/>
    <x v="0"/>
    <n v="6"/>
    <n v="5"/>
    <x v="8"/>
    <n v="5"/>
    <n v="0"/>
    <n v="5"/>
  </r>
  <r>
    <n v="27"/>
    <d v="2024-08-11T00:00:00"/>
    <x v="0"/>
    <n v="7"/>
    <n v="7"/>
    <x v="28"/>
    <n v="4"/>
    <n v="0"/>
    <n v="4"/>
  </r>
  <r>
    <n v="27"/>
    <d v="2024-08-11T00:00:00"/>
    <x v="0"/>
    <n v="8"/>
    <n v="11"/>
    <x v="67"/>
    <n v="3"/>
    <n v="0"/>
    <n v="3"/>
  </r>
  <r>
    <n v="27"/>
    <d v="2024-08-11T00:00:00"/>
    <x v="0"/>
    <n v="9"/>
    <n v="6"/>
    <x v="49"/>
    <n v="2"/>
    <n v="0"/>
    <n v="2"/>
  </r>
  <r>
    <n v="27"/>
    <d v="2024-08-11T00:00:00"/>
    <x v="0"/>
    <n v="10"/>
    <n v="9"/>
    <x v="21"/>
    <n v="1"/>
    <n v="0"/>
    <n v="1"/>
  </r>
  <r>
    <n v="27"/>
    <d v="2024-08-11T00:00:00"/>
    <x v="1"/>
    <n v="1"/>
    <n v="1"/>
    <x v="62"/>
    <n v="10"/>
    <n v="9"/>
    <n v="19"/>
  </r>
  <r>
    <n v="27"/>
    <d v="2024-08-11T00:00:00"/>
    <x v="1"/>
    <n v="2"/>
    <n v="3"/>
    <x v="63"/>
    <n v="9"/>
    <n v="7"/>
    <n v="16"/>
  </r>
  <r>
    <n v="27"/>
    <d v="2024-08-11T00:00:00"/>
    <x v="1"/>
    <n v="3"/>
    <n v="4"/>
    <x v="60"/>
    <n v="8"/>
    <n v="5"/>
    <n v="13"/>
  </r>
  <r>
    <n v="27"/>
    <d v="2024-08-11T00:00:00"/>
    <x v="1"/>
    <n v="4"/>
    <n v="5"/>
    <x v="64"/>
    <n v="7"/>
    <n v="3"/>
    <n v="10"/>
  </r>
  <r>
    <n v="27"/>
    <d v="2024-08-11T00:00:00"/>
    <x v="1"/>
    <n v="5"/>
    <n v="2"/>
    <x v="54"/>
    <n v="6"/>
    <n v="1"/>
    <n v="7"/>
  </r>
  <r>
    <n v="27"/>
    <d v="2024-08-11T00:00:00"/>
    <x v="1"/>
    <n v="6"/>
    <n v="7"/>
    <x v="66"/>
    <n v="5"/>
    <n v="0"/>
    <n v="5"/>
  </r>
  <r>
    <n v="27"/>
    <d v="2024-08-11T00:00:00"/>
    <x v="1"/>
    <n v="7"/>
    <n v="9"/>
    <x v="46"/>
    <n v="4"/>
    <n v="0"/>
    <n v="4"/>
  </r>
  <r>
    <n v="27"/>
    <d v="2024-08-11T00:00:00"/>
    <x v="1"/>
    <n v="8"/>
    <n v="11"/>
    <x v="68"/>
    <n v="3"/>
    <n v="0"/>
    <n v="3"/>
  </r>
  <r>
    <n v="27"/>
    <d v="2024-08-11T00:00:00"/>
    <x v="1"/>
    <n v="9"/>
    <n v="6"/>
    <x v="47"/>
    <n v="2"/>
    <n v="0"/>
    <n v="2"/>
  </r>
  <r>
    <n v="27"/>
    <d v="2024-08-11T00:00:00"/>
    <x v="1"/>
    <n v="10"/>
    <n v="8"/>
    <x v="55"/>
    <n v="1"/>
    <n v="0"/>
    <n v="1"/>
  </r>
  <r>
    <n v="28"/>
    <d v="2024-08-18T00:00:00"/>
    <x v="0"/>
    <n v="1"/>
    <n v="1"/>
    <x v="61"/>
    <n v="10"/>
    <n v="9"/>
    <n v="19"/>
  </r>
  <r>
    <n v="28"/>
    <d v="2024-08-18T00:00:00"/>
    <x v="0"/>
    <n v="2"/>
    <n v="2"/>
    <x v="51"/>
    <n v="9"/>
    <n v="7"/>
    <n v="16"/>
  </r>
  <r>
    <n v="28"/>
    <d v="2024-08-18T00:00:00"/>
    <x v="0"/>
    <n v="3"/>
    <n v="4"/>
    <x v="57"/>
    <n v="8"/>
    <n v="5"/>
    <n v="13"/>
  </r>
  <r>
    <n v="28"/>
    <d v="2024-08-18T00:00:00"/>
    <x v="0"/>
    <n v="4"/>
    <n v="3"/>
    <x v="45"/>
    <n v="7"/>
    <n v="3"/>
    <n v="10"/>
  </r>
  <r>
    <n v="28"/>
    <d v="2024-08-18T00:00:00"/>
    <x v="0"/>
    <n v="5"/>
    <n v="5"/>
    <x v="65"/>
    <n v="6"/>
    <n v="1"/>
    <n v="7"/>
  </r>
  <r>
    <n v="28"/>
    <d v="2024-08-18T00:00:00"/>
    <x v="0"/>
    <n v="6"/>
    <n v="7"/>
    <x v="28"/>
    <n v="5"/>
    <n v="0"/>
    <n v="5"/>
  </r>
  <r>
    <n v="28"/>
    <d v="2024-08-18T00:00:00"/>
    <x v="0"/>
    <n v="7"/>
    <n v="8"/>
    <x v="67"/>
    <n v="4"/>
    <n v="0"/>
    <n v="4"/>
  </r>
  <r>
    <n v="28"/>
    <d v="2024-08-18T00:00:00"/>
    <x v="0"/>
    <n v="8"/>
    <n v="6"/>
    <x v="8"/>
    <n v="3"/>
    <n v="0"/>
    <n v="3"/>
  </r>
  <r>
    <n v="28"/>
    <d v="2024-08-18T00:00:00"/>
    <x v="0"/>
    <n v="9"/>
    <n v="11"/>
    <x v="69"/>
    <n v="2"/>
    <n v="0"/>
    <n v="2"/>
  </r>
  <r>
    <n v="28"/>
    <d v="2024-08-18T00:00:00"/>
    <x v="0"/>
    <n v="10"/>
    <n v="9"/>
    <x v="49"/>
    <n v="1"/>
    <n v="0"/>
    <n v="1"/>
  </r>
  <r>
    <n v="28"/>
    <d v="2024-08-18T00:00:00"/>
    <x v="1"/>
    <n v="1"/>
    <n v="1"/>
    <x v="62"/>
    <n v="10"/>
    <n v="9"/>
    <n v="19"/>
  </r>
  <r>
    <n v="28"/>
    <d v="2024-08-18T00:00:00"/>
    <x v="1"/>
    <n v="2"/>
    <n v="2"/>
    <x v="63"/>
    <n v="9"/>
    <n v="7"/>
    <n v="16"/>
  </r>
  <r>
    <n v="28"/>
    <d v="2024-08-18T00:00:00"/>
    <x v="1"/>
    <n v="3"/>
    <n v="4"/>
    <x v="64"/>
    <n v="8"/>
    <n v="5"/>
    <n v="13"/>
  </r>
  <r>
    <n v="28"/>
    <d v="2024-08-18T00:00:00"/>
    <x v="1"/>
    <n v="4"/>
    <n v="3"/>
    <x v="60"/>
    <n v="7"/>
    <n v="3"/>
    <n v="10"/>
  </r>
  <r>
    <n v="28"/>
    <d v="2024-08-18T00:00:00"/>
    <x v="1"/>
    <n v="5"/>
    <n v="7"/>
    <x v="46"/>
    <n v="6"/>
    <n v="1"/>
    <n v="7"/>
  </r>
  <r>
    <n v="28"/>
    <d v="2024-08-18T00:00:00"/>
    <x v="1"/>
    <n v="6"/>
    <n v="6"/>
    <x v="66"/>
    <n v="5"/>
    <n v="0"/>
    <n v="5"/>
  </r>
  <r>
    <n v="28"/>
    <d v="2024-08-18T00:00:00"/>
    <x v="1"/>
    <n v="7"/>
    <n v="8"/>
    <x v="68"/>
    <n v="4"/>
    <n v="0"/>
    <n v="4"/>
  </r>
  <r>
    <n v="28"/>
    <d v="2024-08-18T00:00:00"/>
    <x v="1"/>
    <n v="8"/>
    <n v="5"/>
    <x v="54"/>
    <n v="3"/>
    <n v="0"/>
    <n v="3"/>
  </r>
  <r>
    <n v="28"/>
    <d v="2024-08-18T00:00:00"/>
    <x v="1"/>
    <n v="9"/>
    <n v="11"/>
    <x v="70"/>
    <n v="2"/>
    <n v="0"/>
    <n v="2"/>
  </r>
  <r>
    <n v="28"/>
    <d v="2024-08-18T00:00:00"/>
    <x v="1"/>
    <n v="10"/>
    <n v="9"/>
    <x v="47"/>
    <n v="1"/>
    <n v="0"/>
    <n v="1"/>
  </r>
  <r>
    <n v="29"/>
    <d v="2024-08-25T00:00:00"/>
    <x v="0"/>
    <n v="1"/>
    <n v="1"/>
    <x v="61"/>
    <n v="10"/>
    <n v="9"/>
    <n v="19"/>
  </r>
  <r>
    <n v="29"/>
    <d v="2024-08-25T00:00:00"/>
    <x v="0"/>
    <n v="2"/>
    <n v="2"/>
    <x v="51"/>
    <n v="9"/>
    <n v="7"/>
    <n v="16"/>
  </r>
  <r>
    <n v="29"/>
    <d v="2024-08-25T00:00:00"/>
    <x v="0"/>
    <n v="3"/>
    <n v="5"/>
    <x v="65"/>
    <n v="8"/>
    <n v="5"/>
    <n v="13"/>
  </r>
  <r>
    <n v="29"/>
    <d v="2024-08-25T00:00:00"/>
    <x v="0"/>
    <n v="4"/>
    <n v="3"/>
    <x v="57"/>
    <n v="7"/>
    <n v="3"/>
    <n v="10"/>
  </r>
  <r>
    <n v="29"/>
    <d v="2024-08-25T00:00:00"/>
    <x v="0"/>
    <n v="5"/>
    <n v="4"/>
    <x v="45"/>
    <n v="6"/>
    <n v="1"/>
    <n v="7"/>
  </r>
  <r>
    <n v="29"/>
    <d v="2024-08-25T00:00:00"/>
    <x v="0"/>
    <n v="6"/>
    <n v="7"/>
    <x v="67"/>
    <n v="5"/>
    <n v="0"/>
    <n v="5"/>
  </r>
  <r>
    <n v="29"/>
    <d v="2024-08-25T00:00:00"/>
    <x v="0"/>
    <n v="7"/>
    <n v="9"/>
    <x v="69"/>
    <n v="4"/>
    <n v="0"/>
    <n v="4"/>
  </r>
  <r>
    <n v="29"/>
    <d v="2024-08-25T00:00:00"/>
    <x v="0"/>
    <n v="8"/>
    <n v="6"/>
    <x v="28"/>
    <n v="3"/>
    <n v="0"/>
    <n v="3"/>
  </r>
  <r>
    <n v="29"/>
    <d v="2024-08-25T00:00:00"/>
    <x v="0"/>
    <n v="9"/>
    <n v="11"/>
    <x v="71"/>
    <n v="2"/>
    <n v="0"/>
    <n v="2"/>
  </r>
  <r>
    <n v="29"/>
    <d v="2024-08-25T00:00:00"/>
    <x v="0"/>
    <n v="10"/>
    <n v="8"/>
    <x v="8"/>
    <n v="1"/>
    <n v="0"/>
    <n v="1"/>
  </r>
  <r>
    <n v="29"/>
    <d v="2024-08-25T00:00:00"/>
    <x v="1"/>
    <n v="1"/>
    <n v="1"/>
    <x v="62"/>
    <n v="10"/>
    <n v="9"/>
    <n v="19"/>
  </r>
  <r>
    <n v="29"/>
    <d v="2024-08-25T00:00:00"/>
    <x v="1"/>
    <n v="2"/>
    <n v="3"/>
    <x v="64"/>
    <n v="9"/>
    <n v="7"/>
    <n v="16"/>
  </r>
  <r>
    <n v="29"/>
    <d v="2024-08-25T00:00:00"/>
    <x v="1"/>
    <n v="3"/>
    <n v="5"/>
    <x v="46"/>
    <n v="8"/>
    <n v="5"/>
    <n v="13"/>
  </r>
  <r>
    <n v="29"/>
    <d v="2024-08-25T00:00:00"/>
    <x v="1"/>
    <n v="4"/>
    <n v="4"/>
    <x v="60"/>
    <n v="7"/>
    <n v="3"/>
    <n v="10"/>
  </r>
  <r>
    <n v="29"/>
    <d v="2024-08-25T00:00:00"/>
    <x v="1"/>
    <n v="5"/>
    <n v="2"/>
    <x v="63"/>
    <n v="6"/>
    <n v="1"/>
    <n v="7"/>
  </r>
  <r>
    <n v="29"/>
    <d v="2024-08-25T00:00:00"/>
    <x v="1"/>
    <n v="6"/>
    <n v="6"/>
    <x v="66"/>
    <n v="5"/>
    <n v="0"/>
    <n v="5"/>
  </r>
  <r>
    <n v="29"/>
    <d v="2024-08-25T00:00:00"/>
    <x v="1"/>
    <n v="7"/>
    <n v="7"/>
    <x v="68"/>
    <n v="4"/>
    <n v="0"/>
    <n v="4"/>
  </r>
  <r>
    <n v="29"/>
    <d v="2024-08-25T00:00:00"/>
    <x v="1"/>
    <n v="8"/>
    <n v="9"/>
    <x v="70"/>
    <n v="3"/>
    <n v="0"/>
    <n v="3"/>
  </r>
  <r>
    <n v="29"/>
    <d v="2024-08-25T00:00:00"/>
    <x v="1"/>
    <n v="9"/>
    <n v="11"/>
    <x v="72"/>
    <n v="2"/>
    <n v="0"/>
    <n v="2"/>
  </r>
  <r>
    <n v="29"/>
    <d v="2024-08-25T00:00:00"/>
    <x v="1"/>
    <n v="10"/>
    <n v="11"/>
    <x v="73"/>
    <n v="1"/>
    <n v="0"/>
    <n v="1"/>
  </r>
  <r>
    <n v="30"/>
    <d v="2024-09-01T00:00:00"/>
    <x v="0"/>
    <n v="1"/>
    <n v="1"/>
    <x v="61"/>
    <n v="10"/>
    <n v="9"/>
    <n v="19"/>
  </r>
  <r>
    <n v="30"/>
    <d v="2024-09-01T00:00:00"/>
    <x v="0"/>
    <n v="2"/>
    <n v="2"/>
    <x v="51"/>
    <n v="9"/>
    <n v="7"/>
    <n v="16"/>
  </r>
  <r>
    <n v="30"/>
    <d v="2024-09-01T00:00:00"/>
    <x v="0"/>
    <n v="3"/>
    <n v="3"/>
    <x v="65"/>
    <n v="8"/>
    <n v="5"/>
    <n v="13"/>
  </r>
  <r>
    <n v="30"/>
    <d v="2024-09-01T00:00:00"/>
    <x v="0"/>
    <n v="4"/>
    <n v="4"/>
    <x v="57"/>
    <n v="7"/>
    <n v="3"/>
    <n v="10"/>
  </r>
  <r>
    <n v="30"/>
    <d v="2024-09-01T00:00:00"/>
    <x v="0"/>
    <n v="5"/>
    <n v="6"/>
    <x v="67"/>
    <n v="6"/>
    <n v="1"/>
    <n v="7"/>
  </r>
  <r>
    <n v="30"/>
    <d v="2024-09-01T00:00:00"/>
    <x v="0"/>
    <n v="6"/>
    <n v="11"/>
    <x v="74"/>
    <n v="5"/>
    <n v="0"/>
    <n v="5"/>
  </r>
  <r>
    <n v="30"/>
    <d v="2024-09-01T00:00:00"/>
    <x v="0"/>
    <n v="7"/>
    <n v="7"/>
    <x v="69"/>
    <n v="4"/>
    <n v="0"/>
    <n v="4"/>
  </r>
  <r>
    <n v="30"/>
    <d v="2024-09-01T00:00:00"/>
    <x v="0"/>
    <n v="8"/>
    <n v="5"/>
    <x v="45"/>
    <n v="3"/>
    <n v="0"/>
    <n v="3"/>
  </r>
  <r>
    <n v="30"/>
    <d v="2024-09-01T00:00:00"/>
    <x v="0"/>
    <n v="9"/>
    <n v="9"/>
    <x v="71"/>
    <n v="2"/>
    <n v="0"/>
    <n v="2"/>
  </r>
  <r>
    <n v="30"/>
    <d v="2024-09-01T00:00:00"/>
    <x v="0"/>
    <n v="10"/>
    <n v="8"/>
    <x v="28"/>
    <n v="1"/>
    <n v="0"/>
    <n v="1"/>
  </r>
  <r>
    <n v="30"/>
    <d v="2024-09-01T00:00:00"/>
    <x v="1"/>
    <n v="1"/>
    <n v="2"/>
    <x v="64"/>
    <n v="10"/>
    <n v="9"/>
    <n v="19"/>
  </r>
  <r>
    <n v="30"/>
    <d v="2024-09-01T00:00:00"/>
    <x v="1"/>
    <n v="2"/>
    <n v="1"/>
    <x v="62"/>
    <n v="9"/>
    <n v="7"/>
    <n v="16"/>
  </r>
  <r>
    <n v="30"/>
    <d v="2024-09-01T00:00:00"/>
    <x v="1"/>
    <n v="3"/>
    <n v="3"/>
    <x v="46"/>
    <n v="8"/>
    <n v="5"/>
    <n v="13"/>
  </r>
  <r>
    <n v="30"/>
    <d v="2024-09-01T00:00:00"/>
    <x v="1"/>
    <n v="4"/>
    <n v="6"/>
    <x v="66"/>
    <n v="7"/>
    <n v="3"/>
    <n v="10"/>
  </r>
  <r>
    <n v="30"/>
    <d v="2024-09-01T00:00:00"/>
    <x v="1"/>
    <n v="5"/>
    <n v="9"/>
    <x v="72"/>
    <n v="6"/>
    <n v="1"/>
    <n v="7"/>
  </r>
  <r>
    <n v="30"/>
    <d v="2024-09-01T00:00:00"/>
    <x v="1"/>
    <n v="6"/>
    <n v="7"/>
    <x v="68"/>
    <n v="5"/>
    <n v="0"/>
    <n v="5"/>
  </r>
  <r>
    <n v="30"/>
    <d v="2024-09-01T00:00:00"/>
    <x v="1"/>
    <n v="7"/>
    <n v="8"/>
    <x v="70"/>
    <n v="4"/>
    <n v="0"/>
    <n v="4"/>
  </r>
  <r>
    <n v="30"/>
    <d v="2024-09-01T00:00:00"/>
    <x v="1"/>
    <n v="8"/>
    <n v="4"/>
    <x v="60"/>
    <n v="3"/>
    <n v="0"/>
    <n v="3"/>
  </r>
  <r>
    <n v="30"/>
    <d v="2024-09-01T00:00:00"/>
    <x v="1"/>
    <n v="9"/>
    <n v="5"/>
    <x v="63"/>
    <n v="2"/>
    <n v="0"/>
    <n v="2"/>
  </r>
  <r>
    <n v="30"/>
    <d v="2024-09-01T00:00:00"/>
    <x v="1"/>
    <n v="10"/>
    <n v="10"/>
    <x v="73"/>
    <n v="1"/>
    <n v="0"/>
    <n v="1"/>
  </r>
  <r>
    <n v="31"/>
    <d v="2024-09-08T00:00:00"/>
    <x v="0"/>
    <n v="1"/>
    <n v="2"/>
    <x v="51"/>
    <n v="10"/>
    <n v="9"/>
    <n v="19"/>
  </r>
  <r>
    <n v="31"/>
    <d v="2024-09-08T00:00:00"/>
    <x v="0"/>
    <n v="2"/>
    <n v="1"/>
    <x v="61"/>
    <n v="9"/>
    <n v="7"/>
    <n v="16"/>
  </r>
  <r>
    <n v="31"/>
    <d v="2024-09-08T00:00:00"/>
    <x v="0"/>
    <n v="3"/>
    <n v="3"/>
    <x v="65"/>
    <n v="8"/>
    <n v="5"/>
    <n v="13"/>
  </r>
  <r>
    <n v="31"/>
    <d v="2024-09-08T00:00:00"/>
    <x v="0"/>
    <n v="4"/>
    <n v="5"/>
    <x v="67"/>
    <n v="7"/>
    <n v="3"/>
    <n v="10"/>
  </r>
  <r>
    <n v="31"/>
    <d v="2024-09-08T00:00:00"/>
    <x v="0"/>
    <n v="5"/>
    <n v="7"/>
    <x v="69"/>
    <n v="6"/>
    <n v="1"/>
    <n v="7"/>
  </r>
  <r>
    <n v="31"/>
    <d v="2024-09-08T00:00:00"/>
    <x v="0"/>
    <n v="6"/>
    <n v="4"/>
    <x v="57"/>
    <n v="5"/>
    <n v="0"/>
    <n v="5"/>
  </r>
  <r>
    <n v="31"/>
    <d v="2024-09-08T00:00:00"/>
    <x v="0"/>
    <n v="7"/>
    <n v="6"/>
    <x v="74"/>
    <n v="4"/>
    <n v="0"/>
    <n v="4"/>
  </r>
  <r>
    <n v="31"/>
    <d v="2024-09-08T00:00:00"/>
    <x v="0"/>
    <n v="8"/>
    <n v="9"/>
    <x v="71"/>
    <n v="3"/>
    <n v="0"/>
    <n v="3"/>
  </r>
  <r>
    <n v="31"/>
    <d v="2024-09-08T00:00:00"/>
    <x v="0"/>
    <n v="9"/>
    <n v="8"/>
    <x v="45"/>
    <n v="2"/>
    <n v="0"/>
    <n v="2"/>
  </r>
  <r>
    <n v="31"/>
    <d v="2024-09-08T00:00:00"/>
    <x v="0"/>
    <n v="10"/>
    <n v="10"/>
    <x v="28"/>
    <n v="1"/>
    <n v="0"/>
    <n v="1"/>
  </r>
  <r>
    <n v="31"/>
    <d v="2024-09-08T00:00:00"/>
    <x v="1"/>
    <n v="1"/>
    <n v="1"/>
    <x v="64"/>
    <n v="10"/>
    <n v="9"/>
    <n v="19"/>
  </r>
  <r>
    <n v="31"/>
    <d v="2024-09-08T00:00:00"/>
    <x v="1"/>
    <n v="2"/>
    <n v="2"/>
    <x v="62"/>
    <n v="9"/>
    <n v="7"/>
    <n v="16"/>
  </r>
  <r>
    <n v="31"/>
    <d v="2024-09-08T00:00:00"/>
    <x v="1"/>
    <n v="3"/>
    <n v="4"/>
    <x v="66"/>
    <n v="8"/>
    <n v="5"/>
    <n v="13"/>
  </r>
  <r>
    <n v="31"/>
    <d v="2024-09-08T00:00:00"/>
    <x v="1"/>
    <n v="4"/>
    <n v="3"/>
    <x v="46"/>
    <n v="7"/>
    <n v="3"/>
    <n v="10"/>
  </r>
  <r>
    <n v="31"/>
    <d v="2024-09-08T00:00:00"/>
    <x v="1"/>
    <n v="5"/>
    <n v="6"/>
    <x v="68"/>
    <n v="6"/>
    <n v="1"/>
    <n v="7"/>
  </r>
  <r>
    <n v="31"/>
    <d v="2024-09-08T00:00:00"/>
    <x v="1"/>
    <n v="6"/>
    <n v="5"/>
    <x v="72"/>
    <n v="5"/>
    <n v="0"/>
    <n v="5"/>
  </r>
  <r>
    <n v="31"/>
    <d v="2024-09-08T00:00:00"/>
    <x v="1"/>
    <n v="7"/>
    <n v="7"/>
    <x v="70"/>
    <n v="4"/>
    <n v="0"/>
    <n v="4"/>
  </r>
  <r>
    <n v="31"/>
    <d v="2024-09-08T00:00:00"/>
    <x v="1"/>
    <n v="8"/>
    <n v="11"/>
    <x v="75"/>
    <n v="3"/>
    <n v="0"/>
    <n v="3"/>
  </r>
  <r>
    <n v="31"/>
    <d v="2024-09-08T00:00:00"/>
    <x v="1"/>
    <n v="9"/>
    <n v="8"/>
    <x v="60"/>
    <n v="2"/>
    <n v="0"/>
    <n v="2"/>
  </r>
  <r>
    <n v="31"/>
    <d v="2024-09-08T00:00:00"/>
    <x v="1"/>
    <n v="10"/>
    <n v="11"/>
    <x v="76"/>
    <n v="1"/>
    <n v="0"/>
    <n v="1"/>
  </r>
  <r>
    <n v="32"/>
    <d v="2024-09-22T00:00:00"/>
    <x v="0"/>
    <n v="1"/>
    <n v="1"/>
    <x v="51"/>
    <n v="10"/>
    <n v="9"/>
    <n v="19"/>
  </r>
  <r>
    <n v="32"/>
    <d v="2024-09-22T00:00:00"/>
    <x v="0"/>
    <n v="2"/>
    <n v="2"/>
    <x v="61"/>
    <n v="9"/>
    <n v="7"/>
    <n v="16"/>
  </r>
  <r>
    <n v="32"/>
    <d v="2024-09-22T00:00:00"/>
    <x v="0"/>
    <n v="3"/>
    <n v="3"/>
    <x v="65"/>
    <n v="8"/>
    <n v="5"/>
    <n v="13"/>
  </r>
  <r>
    <n v="32"/>
    <d v="2024-09-22T00:00:00"/>
    <x v="0"/>
    <n v="4"/>
    <n v="5"/>
    <x v="69"/>
    <n v="7"/>
    <n v="3"/>
    <n v="10"/>
  </r>
  <r>
    <n v="32"/>
    <d v="2024-09-22T00:00:00"/>
    <x v="0"/>
    <n v="5"/>
    <n v="4"/>
    <x v="67"/>
    <n v="6"/>
    <n v="1"/>
    <n v="7"/>
  </r>
  <r>
    <n v="32"/>
    <d v="2024-09-22T00:00:00"/>
    <x v="0"/>
    <n v="6"/>
    <n v="7"/>
    <x v="74"/>
    <n v="5"/>
    <n v="0"/>
    <n v="5"/>
  </r>
  <r>
    <n v="32"/>
    <d v="2024-09-22T00:00:00"/>
    <x v="0"/>
    <n v="7"/>
    <n v="6"/>
    <x v="57"/>
    <n v="4"/>
    <n v="0"/>
    <n v="4"/>
  </r>
  <r>
    <n v="32"/>
    <d v="2024-09-22T00:00:00"/>
    <x v="0"/>
    <n v="8"/>
    <n v="8"/>
    <x v="71"/>
    <n v="3"/>
    <n v="0"/>
    <n v="3"/>
  </r>
  <r>
    <n v="32"/>
    <d v="2024-09-22T00:00:00"/>
    <x v="0"/>
    <n v="9"/>
    <n v="9"/>
    <x v="45"/>
    <n v="2"/>
    <n v="0"/>
    <n v="2"/>
  </r>
  <r>
    <n v="32"/>
    <d v="2024-09-22T00:00:00"/>
    <x v="0"/>
    <n v="10"/>
    <n v="10"/>
    <x v="28"/>
    <n v="1"/>
    <n v="0"/>
    <n v="1"/>
  </r>
  <r>
    <n v="32"/>
    <d v="2024-09-22T00:00:00"/>
    <x v="1"/>
    <n v="1"/>
    <n v="1"/>
    <x v="64"/>
    <n v="10"/>
    <n v="9"/>
    <n v="19"/>
  </r>
  <r>
    <n v="32"/>
    <d v="2024-09-22T00:00:00"/>
    <x v="1"/>
    <n v="2"/>
    <n v="3"/>
    <x v="66"/>
    <n v="9"/>
    <n v="7"/>
    <n v="16"/>
  </r>
  <r>
    <n v="32"/>
    <d v="2024-09-22T00:00:00"/>
    <x v="1"/>
    <n v="3"/>
    <n v="2"/>
    <x v="62"/>
    <n v="8"/>
    <n v="5"/>
    <n v="13"/>
  </r>
  <r>
    <n v="32"/>
    <d v="2024-09-22T00:00:00"/>
    <x v="1"/>
    <n v="4"/>
    <n v="4"/>
    <x v="46"/>
    <n v="7"/>
    <n v="3"/>
    <n v="10"/>
  </r>
  <r>
    <n v="32"/>
    <d v="2024-09-22T00:00:00"/>
    <x v="1"/>
    <n v="5"/>
    <n v="5"/>
    <x v="68"/>
    <n v="6"/>
    <n v="1"/>
    <n v="7"/>
  </r>
  <r>
    <n v="32"/>
    <d v="2024-09-22T00:00:00"/>
    <x v="1"/>
    <n v="6"/>
    <n v="7"/>
    <x v="70"/>
    <n v="5"/>
    <n v="0"/>
    <n v="5"/>
  </r>
  <r>
    <n v="32"/>
    <d v="2024-09-22T00:00:00"/>
    <x v="1"/>
    <n v="7"/>
    <n v="8"/>
    <x v="75"/>
    <n v="4"/>
    <n v="0"/>
    <n v="4"/>
  </r>
  <r>
    <n v="32"/>
    <d v="2024-09-22T00:00:00"/>
    <x v="1"/>
    <n v="8"/>
    <n v="6"/>
    <x v="72"/>
    <n v="3"/>
    <n v="0"/>
    <n v="3"/>
  </r>
  <r>
    <n v="32"/>
    <d v="2024-09-22T00:00:00"/>
    <x v="1"/>
    <n v="9"/>
    <n v="10"/>
    <x v="76"/>
    <n v="2"/>
    <n v="0"/>
    <n v="2"/>
  </r>
  <r>
    <n v="32"/>
    <d v="2024-09-22T00:00:00"/>
    <x v="1"/>
    <n v="10"/>
    <n v="9"/>
    <x v="60"/>
    <n v="1"/>
    <n v="0"/>
    <n v="1"/>
  </r>
  <r>
    <n v="33"/>
    <d v="2024-10-06T00:00:00"/>
    <x v="0"/>
    <n v="1"/>
    <n v="1"/>
    <x v="51"/>
    <n v="10"/>
    <n v="9"/>
    <n v="19"/>
  </r>
  <r>
    <n v="33"/>
    <d v="2024-10-06T00:00:00"/>
    <x v="0"/>
    <n v="2"/>
    <n v="2"/>
    <x v="61"/>
    <n v="9"/>
    <n v="7"/>
    <n v="16"/>
  </r>
  <r>
    <n v="33"/>
    <d v="2024-10-06T00:00:00"/>
    <x v="0"/>
    <n v="3"/>
    <n v="4"/>
    <x v="69"/>
    <n v="8"/>
    <n v="5"/>
    <n v="13"/>
  </r>
  <r>
    <n v="33"/>
    <d v="2024-10-06T00:00:00"/>
    <x v="0"/>
    <n v="4"/>
    <n v="3"/>
    <x v="65"/>
    <n v="7"/>
    <n v="3"/>
    <n v="10"/>
  </r>
  <r>
    <n v="33"/>
    <d v="2024-10-06T00:00:00"/>
    <x v="0"/>
    <n v="5"/>
    <n v="11"/>
    <x v="34"/>
    <n v="6"/>
    <n v="1"/>
    <n v="7"/>
  </r>
  <r>
    <n v="33"/>
    <d v="2024-10-06T00:00:00"/>
    <x v="0"/>
    <n v="6"/>
    <n v="6"/>
    <x v="74"/>
    <n v="5"/>
    <n v="0"/>
    <n v="5"/>
  </r>
  <r>
    <n v="33"/>
    <d v="2024-10-06T00:00:00"/>
    <x v="0"/>
    <n v="7"/>
    <n v="7"/>
    <x v="57"/>
    <n v="4"/>
    <n v="0"/>
    <n v="4"/>
  </r>
  <r>
    <n v="33"/>
    <d v="2024-10-06T00:00:00"/>
    <x v="0"/>
    <n v="8"/>
    <n v="8"/>
    <x v="71"/>
    <n v="3"/>
    <n v="0"/>
    <n v="3"/>
  </r>
  <r>
    <n v="33"/>
    <d v="2024-10-06T00:00:00"/>
    <x v="0"/>
    <n v="9"/>
    <n v="5"/>
    <x v="67"/>
    <n v="2"/>
    <n v="0"/>
    <n v="2"/>
  </r>
  <r>
    <n v="33"/>
    <d v="2024-10-06T00:00:00"/>
    <x v="0"/>
    <n v="10"/>
    <n v="9"/>
    <x v="45"/>
    <n v="1"/>
    <n v="0"/>
    <n v="1"/>
  </r>
  <r>
    <n v="33"/>
    <d v="2024-10-06T00:00:00"/>
    <x v="1"/>
    <n v="1"/>
    <n v="1"/>
    <x v="64"/>
    <n v="10"/>
    <n v="9"/>
    <n v="19"/>
  </r>
  <r>
    <n v="33"/>
    <d v="2024-10-06T00:00:00"/>
    <x v="1"/>
    <n v="2"/>
    <n v="2"/>
    <x v="66"/>
    <n v="9"/>
    <n v="7"/>
    <n v="16"/>
  </r>
  <r>
    <n v="33"/>
    <d v="2024-10-06T00:00:00"/>
    <x v="1"/>
    <n v="3"/>
    <n v="3"/>
    <x v="62"/>
    <n v="8"/>
    <n v="5"/>
    <n v="13"/>
  </r>
  <r>
    <n v="33"/>
    <d v="2024-10-06T00:00:00"/>
    <x v="1"/>
    <n v="4"/>
    <n v="7"/>
    <x v="75"/>
    <n v="7"/>
    <n v="3"/>
    <n v="10"/>
  </r>
  <r>
    <n v="33"/>
    <d v="2024-10-06T00:00:00"/>
    <x v="1"/>
    <n v="5"/>
    <n v="4"/>
    <x v="46"/>
    <n v="6"/>
    <n v="1"/>
    <n v="7"/>
  </r>
  <r>
    <n v="33"/>
    <d v="2024-10-06T00:00:00"/>
    <x v="1"/>
    <n v="6"/>
    <n v="9"/>
    <x v="76"/>
    <n v="5"/>
    <n v="0"/>
    <n v="5"/>
  </r>
  <r>
    <n v="33"/>
    <d v="2024-10-06T00:00:00"/>
    <x v="1"/>
    <n v="7"/>
    <n v="11"/>
    <x v="77"/>
    <n v="4"/>
    <n v="0"/>
    <n v="4"/>
  </r>
  <r>
    <n v="33"/>
    <d v="2024-10-06T00:00:00"/>
    <x v="1"/>
    <n v="8"/>
    <n v="5"/>
    <x v="68"/>
    <n v="3"/>
    <n v="0"/>
    <n v="3"/>
  </r>
  <r>
    <n v="33"/>
    <d v="2024-10-06T00:00:00"/>
    <x v="1"/>
    <n v="9"/>
    <n v="6"/>
    <x v="70"/>
    <n v="2"/>
    <n v="0"/>
    <n v="2"/>
  </r>
  <r>
    <n v="33"/>
    <d v="2024-10-06T00:00:00"/>
    <x v="1"/>
    <n v="10"/>
    <n v="8"/>
    <x v="72"/>
    <n v="1"/>
    <n v="0"/>
    <n v="1"/>
  </r>
  <r>
    <n v="34"/>
    <d v="2024-11-03T00:00:00"/>
    <x v="0"/>
    <n v="1"/>
    <n v="1"/>
    <x v="51"/>
    <n v="10"/>
    <n v="9"/>
    <n v="19"/>
  </r>
  <r>
    <n v="34"/>
    <d v="2024-11-03T00:00:00"/>
    <x v="0"/>
    <n v="2"/>
    <n v="2"/>
    <x v="61"/>
    <n v="9"/>
    <n v="7"/>
    <n v="16"/>
  </r>
  <r>
    <n v="34"/>
    <d v="2024-11-03T00:00:00"/>
    <x v="0"/>
    <n v="3"/>
    <n v="3"/>
    <x v="69"/>
    <n v="8"/>
    <n v="5"/>
    <n v="13"/>
  </r>
  <r>
    <n v="34"/>
    <d v="2024-11-03T00:00:00"/>
    <x v="0"/>
    <n v="4"/>
    <n v="5"/>
    <x v="34"/>
    <n v="7"/>
    <n v="3"/>
    <n v="10"/>
  </r>
  <r>
    <n v="34"/>
    <d v="2024-11-03T00:00:00"/>
    <x v="0"/>
    <n v="5"/>
    <n v="4"/>
    <x v="65"/>
    <n v="6"/>
    <n v="1"/>
    <n v="7"/>
  </r>
  <r>
    <n v="34"/>
    <d v="2024-11-03T00:00:00"/>
    <x v="0"/>
    <n v="6"/>
    <n v="6"/>
    <x v="74"/>
    <n v="5"/>
    <n v="0"/>
    <n v="5"/>
  </r>
  <r>
    <n v="34"/>
    <d v="2024-11-03T00:00:00"/>
    <x v="0"/>
    <n v="7"/>
    <n v="8"/>
    <x v="71"/>
    <n v="4"/>
    <n v="0"/>
    <n v="4"/>
  </r>
  <r>
    <n v="34"/>
    <d v="2024-11-03T00:00:00"/>
    <x v="0"/>
    <n v="8"/>
    <n v="7"/>
    <x v="57"/>
    <n v="3"/>
    <n v="0"/>
    <n v="3"/>
  </r>
  <r>
    <n v="34"/>
    <d v="2024-11-03T00:00:00"/>
    <x v="0"/>
    <n v="9"/>
    <n v="9"/>
    <x v="67"/>
    <n v="2"/>
    <n v="0"/>
    <n v="2"/>
  </r>
  <r>
    <n v="34"/>
    <d v="2024-11-03T00:00:00"/>
    <x v="0"/>
    <n v="10"/>
    <n v="11"/>
    <x v="78"/>
    <n v="1"/>
    <n v="0"/>
    <n v="1"/>
  </r>
  <r>
    <n v="34"/>
    <d v="2024-11-03T00:00:00"/>
    <x v="1"/>
    <n v="1"/>
    <n v="2"/>
    <x v="66"/>
    <n v="10"/>
    <n v="9"/>
    <n v="19"/>
  </r>
  <r>
    <n v="34"/>
    <d v="2024-11-03T00:00:00"/>
    <x v="1"/>
    <n v="2"/>
    <n v="1"/>
    <x v="64"/>
    <n v="9"/>
    <n v="7"/>
    <n v="16"/>
  </r>
  <r>
    <n v="34"/>
    <d v="2024-11-03T00:00:00"/>
    <x v="1"/>
    <n v="3"/>
    <n v="4"/>
    <x v="75"/>
    <n v="8"/>
    <n v="5"/>
    <n v="13"/>
  </r>
  <r>
    <n v="34"/>
    <d v="2024-11-03T00:00:00"/>
    <x v="1"/>
    <n v="4"/>
    <n v="3"/>
    <x v="62"/>
    <n v="7"/>
    <n v="3"/>
    <n v="10"/>
  </r>
  <r>
    <n v="34"/>
    <d v="2024-11-03T00:00:00"/>
    <x v="1"/>
    <n v="5"/>
    <n v="6"/>
    <x v="76"/>
    <n v="6"/>
    <n v="1"/>
    <n v="7"/>
  </r>
  <r>
    <n v="34"/>
    <d v="2024-11-03T00:00:00"/>
    <x v="1"/>
    <n v="6"/>
    <n v="7"/>
    <x v="77"/>
    <n v="5"/>
    <n v="0"/>
    <n v="5"/>
  </r>
  <r>
    <n v="34"/>
    <d v="2024-11-03T00:00:00"/>
    <x v="1"/>
    <n v="7"/>
    <n v="5"/>
    <x v="46"/>
    <n v="4"/>
    <n v="0"/>
    <n v="4"/>
  </r>
  <r>
    <n v="34"/>
    <d v="2024-11-03T00:00:00"/>
    <x v="1"/>
    <n v="8"/>
    <n v="11"/>
    <x v="79"/>
    <n v="3"/>
    <n v="0"/>
    <n v="3"/>
  </r>
  <r>
    <n v="34"/>
    <d v="2024-11-03T00:00:00"/>
    <x v="1"/>
    <n v="9"/>
    <n v="9"/>
    <x v="70"/>
    <n v="2"/>
    <n v="0"/>
    <n v="2"/>
  </r>
  <r>
    <n v="34"/>
    <d v="2024-11-03T00:00:00"/>
    <x v="1"/>
    <n v="10"/>
    <n v="8"/>
    <x v="68"/>
    <n v="1"/>
    <n v="0"/>
    <n v="1"/>
  </r>
  <r>
    <n v="35"/>
    <d v="2024-11-10T00:00:00"/>
    <x v="0"/>
    <n v="1"/>
    <n v="2"/>
    <x v="61"/>
    <n v="10"/>
    <n v="9"/>
    <n v="19"/>
  </r>
  <r>
    <n v="35"/>
    <d v="2024-11-10T00:00:00"/>
    <x v="0"/>
    <n v="2"/>
    <n v="1"/>
    <x v="51"/>
    <n v="9"/>
    <n v="7"/>
    <n v="16"/>
  </r>
  <r>
    <n v="35"/>
    <d v="2024-11-10T00:00:00"/>
    <x v="0"/>
    <n v="3"/>
    <n v="4"/>
    <x v="34"/>
    <n v="8"/>
    <n v="5"/>
    <n v="13"/>
  </r>
  <r>
    <n v="35"/>
    <d v="2024-11-10T00:00:00"/>
    <x v="0"/>
    <n v="4"/>
    <n v="3"/>
    <x v="69"/>
    <n v="7"/>
    <n v="3"/>
    <n v="10"/>
  </r>
  <r>
    <n v="35"/>
    <d v="2024-11-10T00:00:00"/>
    <x v="0"/>
    <n v="5"/>
    <n v="6"/>
    <x v="74"/>
    <n v="6"/>
    <n v="1"/>
    <n v="7"/>
  </r>
  <r>
    <n v="35"/>
    <d v="2024-11-10T00:00:00"/>
    <x v="0"/>
    <n v="6"/>
    <n v="7"/>
    <x v="71"/>
    <n v="5"/>
    <n v="0"/>
    <n v="5"/>
  </r>
  <r>
    <n v="35"/>
    <d v="2024-11-10T00:00:00"/>
    <x v="0"/>
    <n v="7"/>
    <n v="5"/>
    <x v="65"/>
    <n v="4"/>
    <n v="0"/>
    <n v="4"/>
  </r>
  <r>
    <n v="35"/>
    <d v="2024-11-10T00:00:00"/>
    <x v="0"/>
    <n v="8"/>
    <n v="10"/>
    <x v="78"/>
    <n v="3"/>
    <n v="0"/>
    <n v="3"/>
  </r>
  <r>
    <n v="35"/>
    <d v="2024-11-10T00:00:00"/>
    <x v="0"/>
    <n v="9"/>
    <n v="8"/>
    <x v="57"/>
    <n v="2"/>
    <n v="0"/>
    <n v="2"/>
  </r>
  <r>
    <n v="35"/>
    <d v="2024-11-10T00:00:00"/>
    <x v="0"/>
    <n v="10"/>
    <n v="9"/>
    <x v="67"/>
    <n v="1"/>
    <n v="0"/>
    <n v="1"/>
  </r>
  <r>
    <n v="35"/>
    <d v="2024-11-10T00:00:00"/>
    <x v="1"/>
    <n v="1"/>
    <n v="1"/>
    <x v="66"/>
    <n v="10"/>
    <n v="9"/>
    <n v="19"/>
  </r>
  <r>
    <n v="35"/>
    <d v="2024-11-10T00:00:00"/>
    <x v="1"/>
    <n v="2"/>
    <n v="3"/>
    <x v="75"/>
    <n v="9"/>
    <n v="7"/>
    <n v="16"/>
  </r>
  <r>
    <n v="35"/>
    <d v="2024-11-10T00:00:00"/>
    <x v="1"/>
    <n v="3"/>
    <n v="2"/>
    <x v="64"/>
    <n v="8"/>
    <n v="5"/>
    <n v="13"/>
  </r>
  <r>
    <n v="35"/>
    <d v="2024-11-10T00:00:00"/>
    <x v="1"/>
    <n v="4"/>
    <n v="5"/>
    <x v="76"/>
    <n v="7"/>
    <n v="3"/>
    <n v="10"/>
  </r>
  <r>
    <n v="35"/>
    <d v="2024-11-10T00:00:00"/>
    <x v="1"/>
    <n v="5"/>
    <n v="4"/>
    <x v="62"/>
    <n v="6"/>
    <n v="1"/>
    <n v="7"/>
  </r>
  <r>
    <n v="35"/>
    <d v="2024-11-10T00:00:00"/>
    <x v="1"/>
    <n v="6"/>
    <n v="6"/>
    <x v="77"/>
    <n v="5"/>
    <n v="0"/>
    <n v="5"/>
  </r>
  <r>
    <n v="35"/>
    <d v="2024-11-10T00:00:00"/>
    <x v="1"/>
    <n v="7"/>
    <n v="8"/>
    <x v="79"/>
    <n v="4"/>
    <n v="0"/>
    <n v="4"/>
  </r>
  <r>
    <n v="35"/>
    <d v="2024-11-10T00:00:00"/>
    <x v="1"/>
    <n v="8"/>
    <n v="11"/>
    <x v="80"/>
    <n v="3"/>
    <n v="0"/>
    <n v="3"/>
  </r>
  <r>
    <n v="35"/>
    <d v="2024-11-10T00:00:00"/>
    <x v="1"/>
    <n v="9"/>
    <n v="11"/>
    <x v="81"/>
    <n v="2"/>
    <n v="0"/>
    <n v="2"/>
  </r>
  <r>
    <n v="35"/>
    <d v="2024-11-10T00:00:00"/>
    <x v="1"/>
    <n v="10"/>
    <n v="7"/>
    <x v="46"/>
    <n v="1"/>
    <n v="0"/>
    <n v="1"/>
  </r>
  <r>
    <n v="36"/>
    <d v="2024-11-17T00:00:00"/>
    <x v="0"/>
    <n v="1"/>
    <n v="1"/>
    <x v="61"/>
    <n v="10"/>
    <n v="9"/>
    <n v="19"/>
  </r>
  <r>
    <n v="36"/>
    <d v="2024-11-17T00:00:00"/>
    <x v="0"/>
    <n v="2"/>
    <n v="3"/>
    <x v="34"/>
    <n v="9"/>
    <n v="7"/>
    <n v="16"/>
  </r>
  <r>
    <n v="36"/>
    <d v="2024-11-17T00:00:00"/>
    <x v="0"/>
    <n v="3"/>
    <n v="2"/>
    <x v="51"/>
    <n v="8"/>
    <n v="5"/>
    <n v="13"/>
  </r>
  <r>
    <n v="36"/>
    <d v="2024-11-17T00:00:00"/>
    <x v="0"/>
    <n v="4"/>
    <n v="5"/>
    <x v="74"/>
    <n v="7"/>
    <n v="3"/>
    <n v="10"/>
  </r>
  <r>
    <n v="36"/>
    <d v="2024-11-17T00:00:00"/>
    <x v="0"/>
    <n v="5"/>
    <n v="4"/>
    <x v="69"/>
    <n v="6"/>
    <n v="1"/>
    <n v="7"/>
  </r>
  <r>
    <n v="36"/>
    <d v="2024-11-17T00:00:00"/>
    <x v="0"/>
    <n v="6"/>
    <n v="6"/>
    <x v="71"/>
    <n v="5"/>
    <n v="0"/>
    <n v="5"/>
  </r>
  <r>
    <n v="36"/>
    <d v="2024-11-17T00:00:00"/>
    <x v="0"/>
    <n v="7"/>
    <n v="8"/>
    <x v="78"/>
    <n v="4"/>
    <n v="0"/>
    <n v="4"/>
  </r>
  <r>
    <n v="36"/>
    <d v="2024-11-17T00:00:00"/>
    <x v="0"/>
    <n v="8"/>
    <n v="7"/>
    <x v="65"/>
    <n v="3"/>
    <n v="0"/>
    <n v="3"/>
  </r>
  <r>
    <n v="36"/>
    <d v="2024-11-17T00:00:00"/>
    <x v="0"/>
    <n v="9"/>
    <n v="9"/>
    <x v="57"/>
    <n v="2"/>
    <n v="0"/>
    <n v="2"/>
  </r>
  <r>
    <n v="36"/>
    <d v="2024-11-17T00:00:00"/>
    <x v="0"/>
    <n v="10"/>
    <n v="11"/>
    <x v="82"/>
    <n v="1"/>
    <n v="0"/>
    <n v="1"/>
  </r>
  <r>
    <n v="36"/>
    <d v="2024-11-17T00:00:00"/>
    <x v="1"/>
    <n v="1"/>
    <n v="1"/>
    <x v="66"/>
    <n v="10"/>
    <n v="9"/>
    <n v="19"/>
  </r>
  <r>
    <n v="36"/>
    <d v="2024-11-17T00:00:00"/>
    <x v="1"/>
    <n v="2"/>
    <n v="2"/>
    <x v="75"/>
    <n v="9"/>
    <n v="7"/>
    <n v="16"/>
  </r>
  <r>
    <n v="36"/>
    <d v="2024-11-17T00:00:00"/>
    <x v="1"/>
    <n v="3"/>
    <n v="4"/>
    <x v="76"/>
    <n v="8"/>
    <n v="5"/>
    <n v="13"/>
  </r>
  <r>
    <n v="36"/>
    <d v="2024-11-17T00:00:00"/>
    <x v="1"/>
    <n v="4"/>
    <n v="3"/>
    <x v="64"/>
    <n v="7"/>
    <n v="3"/>
    <n v="10"/>
  </r>
  <r>
    <n v="36"/>
    <d v="2024-11-17T00:00:00"/>
    <x v="1"/>
    <n v="5"/>
    <n v="6"/>
    <x v="77"/>
    <n v="6"/>
    <n v="1"/>
    <n v="7"/>
  </r>
  <r>
    <n v="36"/>
    <d v="2024-11-17T00:00:00"/>
    <x v="1"/>
    <n v="6"/>
    <n v="7"/>
    <x v="79"/>
    <n v="5"/>
    <n v="0"/>
    <n v="5"/>
  </r>
  <r>
    <n v="36"/>
    <d v="2024-11-17T00:00:00"/>
    <x v="1"/>
    <n v="7"/>
    <n v="8"/>
    <x v="80"/>
    <n v="4"/>
    <n v="0"/>
    <n v="4"/>
  </r>
  <r>
    <n v="36"/>
    <d v="2024-11-17T00:00:00"/>
    <x v="1"/>
    <n v="8"/>
    <n v="9"/>
    <x v="81"/>
    <n v="3"/>
    <n v="0"/>
    <n v="3"/>
  </r>
  <r>
    <n v="36"/>
    <d v="2024-11-17T00:00:00"/>
    <x v="1"/>
    <n v="9"/>
    <n v="5"/>
    <x v="62"/>
    <n v="2"/>
    <n v="0"/>
    <n v="2"/>
  </r>
  <r>
    <n v="36"/>
    <d v="2024-11-17T00:00:00"/>
    <x v="1"/>
    <n v="10"/>
    <n v="11"/>
    <x v="83"/>
    <n v="1"/>
    <n v="0"/>
    <n v="1"/>
  </r>
  <r>
    <n v="37"/>
    <d v="2024-12-01T00:00:00"/>
    <x v="0"/>
    <n v="1"/>
    <n v="2"/>
    <x v="34"/>
    <n v="10"/>
    <n v="9"/>
    <n v="19"/>
  </r>
  <r>
    <n v="37"/>
    <d v="2024-12-01T00:00:00"/>
    <x v="0"/>
    <n v="2"/>
    <n v="1"/>
    <x v="61"/>
    <n v="9"/>
    <n v="7"/>
    <n v="16"/>
  </r>
  <r>
    <n v="37"/>
    <d v="2024-12-01T00:00:00"/>
    <x v="0"/>
    <n v="3"/>
    <n v="3"/>
    <x v="51"/>
    <n v="8"/>
    <n v="5"/>
    <n v="13"/>
  </r>
  <r>
    <n v="37"/>
    <d v="2024-12-01T00:00:00"/>
    <x v="0"/>
    <n v="4"/>
    <n v="4"/>
    <x v="74"/>
    <n v="7"/>
    <n v="3"/>
    <n v="10"/>
  </r>
  <r>
    <n v="37"/>
    <d v="2024-12-01T00:00:00"/>
    <x v="0"/>
    <n v="5"/>
    <n v="6"/>
    <x v="71"/>
    <n v="6"/>
    <n v="1"/>
    <n v="7"/>
  </r>
  <r>
    <n v="37"/>
    <d v="2024-12-01T00:00:00"/>
    <x v="0"/>
    <n v="6"/>
    <n v="5"/>
    <x v="69"/>
    <n v="5"/>
    <n v="0"/>
    <n v="5"/>
  </r>
  <r>
    <n v="37"/>
    <d v="2024-12-01T00:00:00"/>
    <x v="0"/>
    <n v="7"/>
    <n v="7"/>
    <x v="78"/>
    <n v="4"/>
    <n v="0"/>
    <n v="4"/>
  </r>
  <r>
    <n v="37"/>
    <d v="2024-12-01T00:00:00"/>
    <x v="0"/>
    <n v="8"/>
    <n v="10"/>
    <x v="82"/>
    <n v="3"/>
    <n v="0"/>
    <n v="3"/>
  </r>
  <r>
    <n v="37"/>
    <d v="2024-12-01T00:00:00"/>
    <x v="0"/>
    <n v="9"/>
    <n v="8"/>
    <x v="65"/>
    <n v="2"/>
    <n v="0"/>
    <n v="2"/>
  </r>
  <r>
    <n v="37"/>
    <d v="2024-12-01T00:00:00"/>
    <x v="0"/>
    <n v="10"/>
    <n v="9"/>
    <x v="57"/>
    <n v="1"/>
    <n v="0"/>
    <n v="1"/>
  </r>
  <r>
    <n v="37"/>
    <d v="2024-12-01T00:00:00"/>
    <x v="1"/>
    <n v="1"/>
    <n v="2"/>
    <x v="75"/>
    <n v="10"/>
    <n v="9"/>
    <n v="19"/>
  </r>
  <r>
    <n v="37"/>
    <d v="2024-12-01T00:00:00"/>
    <x v="1"/>
    <n v="2"/>
    <n v="1"/>
    <x v="66"/>
    <n v="9"/>
    <n v="7"/>
    <n v="16"/>
  </r>
  <r>
    <n v="37"/>
    <d v="2024-12-01T00:00:00"/>
    <x v="1"/>
    <n v="3"/>
    <n v="3"/>
    <x v="76"/>
    <n v="8"/>
    <n v="5"/>
    <n v="13"/>
  </r>
  <r>
    <n v="37"/>
    <d v="2024-12-01T00:00:00"/>
    <x v="1"/>
    <n v="4"/>
    <n v="6"/>
    <x v="79"/>
    <n v="7"/>
    <n v="3"/>
    <n v="10"/>
  </r>
  <r>
    <n v="37"/>
    <d v="2024-12-01T00:00:00"/>
    <x v="1"/>
    <n v="5"/>
    <n v="5"/>
    <x v="77"/>
    <n v="6"/>
    <n v="1"/>
    <n v="7"/>
  </r>
  <r>
    <n v="37"/>
    <d v="2024-12-01T00:00:00"/>
    <x v="1"/>
    <n v="6"/>
    <n v="8"/>
    <x v="81"/>
    <n v="5"/>
    <n v="0"/>
    <n v="5"/>
  </r>
  <r>
    <n v="37"/>
    <d v="2024-12-01T00:00:00"/>
    <x v="1"/>
    <n v="7"/>
    <n v="4"/>
    <x v="64"/>
    <n v="4"/>
    <n v="0"/>
    <n v="4"/>
  </r>
  <r>
    <n v="37"/>
    <d v="2024-12-01T00:00:00"/>
    <x v="1"/>
    <n v="8"/>
    <n v="11"/>
    <x v="84"/>
    <n v="3"/>
    <n v="0"/>
    <n v="3"/>
  </r>
  <r>
    <n v="37"/>
    <d v="2024-12-01T00:00:00"/>
    <x v="1"/>
    <n v="9"/>
    <n v="7"/>
    <x v="80"/>
    <n v="2"/>
    <n v="0"/>
    <n v="2"/>
  </r>
  <r>
    <n v="37"/>
    <d v="2024-12-01T00:00:00"/>
    <x v="1"/>
    <n v="10"/>
    <n v="10"/>
    <x v="83"/>
    <n v="1"/>
    <n v="0"/>
    <n v="1"/>
  </r>
  <r>
    <n v="38"/>
    <d v="2024-12-15T00:00:00"/>
    <x v="0"/>
    <n v="1"/>
    <n v="1"/>
    <x v="34"/>
    <n v="10"/>
    <n v="9"/>
    <n v="19"/>
  </r>
  <r>
    <n v="38"/>
    <d v="2024-12-15T00:00:00"/>
    <x v="0"/>
    <n v="2"/>
    <n v="2"/>
    <x v="61"/>
    <n v="9"/>
    <n v="7"/>
    <n v="16"/>
  </r>
  <r>
    <n v="38"/>
    <d v="2024-12-15T00:00:00"/>
    <x v="0"/>
    <n v="3"/>
    <n v="4"/>
    <x v="74"/>
    <n v="8"/>
    <n v="5"/>
    <n v="13"/>
  </r>
  <r>
    <n v="38"/>
    <d v="2024-12-15T00:00:00"/>
    <x v="0"/>
    <n v="4"/>
    <n v="3"/>
    <x v="51"/>
    <n v="7"/>
    <n v="3"/>
    <n v="10"/>
  </r>
  <r>
    <n v="38"/>
    <d v="2024-12-15T00:00:00"/>
    <x v="0"/>
    <n v="5"/>
    <n v="8"/>
    <x v="82"/>
    <n v="6"/>
    <n v="1"/>
    <n v="7"/>
  </r>
  <r>
    <n v="38"/>
    <d v="2024-12-15T00:00:00"/>
    <x v="0"/>
    <n v="6"/>
    <n v="7"/>
    <x v="78"/>
    <n v="5"/>
    <n v="0"/>
    <n v="5"/>
  </r>
  <r>
    <n v="38"/>
    <d v="2024-12-15T00:00:00"/>
    <x v="0"/>
    <n v="7"/>
    <n v="5"/>
    <x v="71"/>
    <n v="4"/>
    <n v="0"/>
    <n v="4"/>
  </r>
  <r>
    <n v="38"/>
    <d v="2024-12-15T00:00:00"/>
    <x v="0"/>
    <n v="8"/>
    <n v="6"/>
    <x v="69"/>
    <n v="3"/>
    <n v="0"/>
    <n v="3"/>
  </r>
  <r>
    <n v="38"/>
    <d v="2024-12-15T00:00:00"/>
    <x v="0"/>
    <n v="9"/>
    <n v="11"/>
    <x v="85"/>
    <n v="2"/>
    <n v="0"/>
    <n v="2"/>
  </r>
  <r>
    <n v="38"/>
    <d v="2024-12-15T00:00:00"/>
    <x v="0"/>
    <n v="10"/>
    <n v="10"/>
    <x v="57"/>
    <n v="1"/>
    <n v="0"/>
    <n v="1"/>
  </r>
  <r>
    <n v="38"/>
    <d v="2024-12-15T00:00:00"/>
    <x v="1"/>
    <n v="1"/>
    <n v="1"/>
    <x v="75"/>
    <n v="10"/>
    <n v="9"/>
    <n v="19"/>
  </r>
  <r>
    <n v="38"/>
    <d v="2024-12-15T00:00:00"/>
    <x v="1"/>
    <n v="2"/>
    <n v="3"/>
    <x v="76"/>
    <n v="9"/>
    <n v="7"/>
    <n v="16"/>
  </r>
  <r>
    <n v="38"/>
    <d v="2024-12-15T00:00:00"/>
    <x v="1"/>
    <n v="3"/>
    <n v="4"/>
    <x v="79"/>
    <n v="8"/>
    <n v="5"/>
    <n v="13"/>
  </r>
  <r>
    <n v="38"/>
    <d v="2024-12-15T00:00:00"/>
    <x v="1"/>
    <n v="4"/>
    <n v="6"/>
    <x v="81"/>
    <n v="7"/>
    <n v="3"/>
    <n v="10"/>
  </r>
  <r>
    <n v="38"/>
    <d v="2024-12-15T00:00:00"/>
    <x v="1"/>
    <n v="5"/>
    <n v="5"/>
    <x v="77"/>
    <n v="6"/>
    <n v="1"/>
    <n v="7"/>
  </r>
  <r>
    <n v="38"/>
    <d v="2024-12-15T00:00:00"/>
    <x v="1"/>
    <n v="6"/>
    <n v="2"/>
    <x v="66"/>
    <n v="5"/>
    <n v="0"/>
    <n v="5"/>
  </r>
  <r>
    <n v="38"/>
    <d v="2024-12-15T00:00:00"/>
    <x v="1"/>
    <n v="7"/>
    <n v="8"/>
    <x v="84"/>
    <n v="4"/>
    <n v="0"/>
    <n v="4"/>
  </r>
  <r>
    <n v="38"/>
    <d v="2024-12-15T00:00:00"/>
    <x v="1"/>
    <n v="8"/>
    <n v="11"/>
    <x v="86"/>
    <n v="3"/>
    <n v="0"/>
    <n v="3"/>
  </r>
  <r>
    <n v="38"/>
    <d v="2024-12-15T00:00:00"/>
    <x v="1"/>
    <n v="9"/>
    <n v="7"/>
    <x v="64"/>
    <n v="2"/>
    <n v="0"/>
    <n v="2"/>
  </r>
  <r>
    <n v="38"/>
    <d v="2024-12-15T00:00:00"/>
    <x v="1"/>
    <n v="10"/>
    <n v="11"/>
    <x v="87"/>
    <n v="1"/>
    <n v="0"/>
    <n v="1"/>
  </r>
  <r>
    <n v="39"/>
    <d v="2024-12-22T00:00:00"/>
    <x v="0"/>
    <n v="1"/>
    <n v="1"/>
    <x v="34"/>
    <n v="10"/>
    <n v="9"/>
    <n v="19"/>
  </r>
  <r>
    <n v="39"/>
    <d v="2024-12-22T00:00:00"/>
    <x v="0"/>
    <n v="2"/>
    <n v="2"/>
    <x v="61"/>
    <n v="9"/>
    <n v="7"/>
    <n v="16"/>
  </r>
  <r>
    <n v="39"/>
    <d v="2024-12-22T00:00:00"/>
    <x v="0"/>
    <n v="3"/>
    <n v="3"/>
    <x v="74"/>
    <n v="8"/>
    <n v="5"/>
    <n v="13"/>
  </r>
  <r>
    <n v="39"/>
    <d v="2024-12-22T00:00:00"/>
    <x v="0"/>
    <n v="4"/>
    <n v="5"/>
    <x v="82"/>
    <n v="7"/>
    <n v="3"/>
    <n v="10"/>
  </r>
  <r>
    <n v="39"/>
    <d v="2024-12-22T00:00:00"/>
    <x v="0"/>
    <n v="5"/>
    <n v="4"/>
    <x v="51"/>
    <n v="6"/>
    <n v="1"/>
    <n v="7"/>
  </r>
  <r>
    <n v="39"/>
    <d v="2024-12-22T00:00:00"/>
    <x v="0"/>
    <n v="6"/>
    <n v="6"/>
    <x v="78"/>
    <n v="5"/>
    <n v="0"/>
    <n v="5"/>
  </r>
  <r>
    <n v="39"/>
    <d v="2024-12-22T00:00:00"/>
    <x v="0"/>
    <n v="7"/>
    <n v="7"/>
    <x v="71"/>
    <n v="4"/>
    <n v="0"/>
    <n v="4"/>
  </r>
  <r>
    <n v="39"/>
    <d v="2024-12-22T00:00:00"/>
    <x v="0"/>
    <n v="8"/>
    <n v="8"/>
    <x v="69"/>
    <n v="3"/>
    <n v="0"/>
    <n v="3"/>
  </r>
  <r>
    <n v="39"/>
    <d v="2024-12-22T00:00:00"/>
    <x v="0"/>
    <n v="9"/>
    <n v="9"/>
    <x v="85"/>
    <n v="2"/>
    <n v="0"/>
    <n v="2"/>
  </r>
  <r>
    <n v="39"/>
    <d v="2024-12-22T00:00:00"/>
    <x v="0"/>
    <n v="10"/>
    <n v="11"/>
    <x v="88"/>
    <n v="1"/>
    <n v="0"/>
    <n v="1"/>
  </r>
  <r>
    <n v="39"/>
    <d v="2024-12-22T00:00:00"/>
    <x v="1"/>
    <n v="1"/>
    <n v="1"/>
    <x v="75"/>
    <n v="10"/>
    <n v="9"/>
    <n v="19"/>
  </r>
  <r>
    <n v="39"/>
    <d v="2024-12-22T00:00:00"/>
    <x v="1"/>
    <n v="2"/>
    <n v="2"/>
    <x v="76"/>
    <n v="9"/>
    <n v="7"/>
    <n v="16"/>
  </r>
  <r>
    <n v="39"/>
    <d v="2024-12-22T00:00:00"/>
    <x v="1"/>
    <n v="3"/>
    <n v="4"/>
    <x v="81"/>
    <n v="8"/>
    <n v="5"/>
    <n v="13"/>
  </r>
  <r>
    <n v="39"/>
    <d v="2024-12-22T00:00:00"/>
    <x v="1"/>
    <n v="4"/>
    <n v="3"/>
    <x v="79"/>
    <n v="7"/>
    <n v="3"/>
    <n v="10"/>
  </r>
  <r>
    <n v="39"/>
    <d v="2024-12-22T00:00:00"/>
    <x v="1"/>
    <n v="5"/>
    <n v="8"/>
    <x v="86"/>
    <n v="6"/>
    <n v="1"/>
    <n v="7"/>
  </r>
  <r>
    <n v="39"/>
    <d v="2024-12-22T00:00:00"/>
    <x v="1"/>
    <n v="6"/>
    <n v="11"/>
    <x v="89"/>
    <n v="5"/>
    <n v="0"/>
    <n v="5"/>
  </r>
  <r>
    <n v="39"/>
    <d v="2024-12-22T00:00:00"/>
    <x v="1"/>
    <n v="7"/>
    <n v="5"/>
    <x v="77"/>
    <n v="4"/>
    <n v="0"/>
    <n v="4"/>
  </r>
  <r>
    <n v="39"/>
    <d v="2024-12-22T00:00:00"/>
    <x v="1"/>
    <n v="8"/>
    <n v="7"/>
    <x v="84"/>
    <n v="3"/>
    <n v="0"/>
    <n v="3"/>
  </r>
  <r>
    <n v="39"/>
    <d v="2024-12-22T00:00:00"/>
    <x v="1"/>
    <n v="9"/>
    <n v="10"/>
    <x v="87"/>
    <n v="2"/>
    <n v="0"/>
    <n v="2"/>
  </r>
  <r>
    <n v="39"/>
    <d v="2024-12-22T00:00:00"/>
    <x v="1"/>
    <n v="10"/>
    <n v="6"/>
    <x v="66"/>
    <n v="1"/>
    <n v="0"/>
    <n v="1"/>
  </r>
  <r>
    <n v="40"/>
    <d v="2024-12-29T00:00:00"/>
    <x v="0"/>
    <n v="1"/>
    <n v="1"/>
    <x v="34"/>
    <n v="10"/>
    <n v="9"/>
    <n v="19"/>
  </r>
  <r>
    <n v="40"/>
    <d v="2024-12-29T00:00:00"/>
    <x v="0"/>
    <n v="2"/>
    <n v="2"/>
    <x v="61"/>
    <n v="9"/>
    <n v="7"/>
    <n v="16"/>
  </r>
  <r>
    <n v="40"/>
    <d v="2024-12-29T00:00:00"/>
    <x v="0"/>
    <n v="3"/>
    <n v="4"/>
    <x v="82"/>
    <n v="8"/>
    <n v="5"/>
    <n v="13"/>
  </r>
  <r>
    <n v="40"/>
    <d v="2024-12-29T00:00:00"/>
    <x v="0"/>
    <n v="4"/>
    <n v="3"/>
    <x v="74"/>
    <n v="7"/>
    <n v="3"/>
    <n v="10"/>
  </r>
  <r>
    <n v="40"/>
    <d v="2024-12-29T00:00:00"/>
    <x v="0"/>
    <n v="5"/>
    <n v="6"/>
    <x v="78"/>
    <n v="6"/>
    <n v="1"/>
    <n v="7"/>
  </r>
  <r>
    <n v="40"/>
    <d v="2024-12-29T00:00:00"/>
    <x v="0"/>
    <n v="6"/>
    <n v="5"/>
    <x v="51"/>
    <n v="5"/>
    <n v="0"/>
    <n v="5"/>
  </r>
  <r>
    <n v="40"/>
    <d v="2024-12-29T00:00:00"/>
    <x v="0"/>
    <n v="7"/>
    <n v="9"/>
    <x v="85"/>
    <n v="4"/>
    <n v="0"/>
    <n v="4"/>
  </r>
  <r>
    <n v="40"/>
    <d v="2024-12-29T00:00:00"/>
    <x v="0"/>
    <n v="8"/>
    <n v="10"/>
    <x v="88"/>
    <n v="3"/>
    <n v="0"/>
    <n v="3"/>
  </r>
  <r>
    <n v="40"/>
    <d v="2024-12-29T00:00:00"/>
    <x v="0"/>
    <n v="9"/>
    <n v="7"/>
    <x v="71"/>
    <n v="2"/>
    <n v="0"/>
    <n v="2"/>
  </r>
  <r>
    <n v="40"/>
    <d v="2024-12-29T00:00:00"/>
    <x v="0"/>
    <n v="10"/>
    <n v="8"/>
    <x v="69"/>
    <n v="1"/>
    <n v="0"/>
    <n v="1"/>
  </r>
  <r>
    <n v="40"/>
    <d v="2024-12-29T00:00:00"/>
    <x v="1"/>
    <n v="1"/>
    <n v="1"/>
    <x v="75"/>
    <n v="10"/>
    <n v="9"/>
    <n v="19"/>
  </r>
  <r>
    <n v="40"/>
    <d v="2024-12-29T00:00:00"/>
    <x v="1"/>
    <n v="2"/>
    <n v="3"/>
    <x v="81"/>
    <n v="9"/>
    <n v="7"/>
    <n v="16"/>
  </r>
  <r>
    <n v="40"/>
    <d v="2024-12-29T00:00:00"/>
    <x v="1"/>
    <n v="3"/>
    <n v="2"/>
    <x v="76"/>
    <n v="8"/>
    <n v="5"/>
    <n v="13"/>
  </r>
  <r>
    <n v="40"/>
    <d v="2024-12-29T00:00:00"/>
    <x v="1"/>
    <n v="4"/>
    <n v="5"/>
    <x v="86"/>
    <n v="7"/>
    <n v="3"/>
    <n v="10"/>
  </r>
  <r>
    <n v="40"/>
    <d v="2024-12-29T00:00:00"/>
    <x v="1"/>
    <n v="5"/>
    <n v="4"/>
    <x v="79"/>
    <n v="6"/>
    <n v="1"/>
    <n v="7"/>
  </r>
  <r>
    <n v="40"/>
    <d v="2024-12-29T00:00:00"/>
    <x v="1"/>
    <n v="6"/>
    <n v="6"/>
    <x v="89"/>
    <n v="5"/>
    <n v="0"/>
    <n v="5"/>
  </r>
  <r>
    <n v="40"/>
    <d v="2024-12-29T00:00:00"/>
    <x v="1"/>
    <n v="7"/>
    <n v="9"/>
    <x v="87"/>
    <n v="4"/>
    <n v="0"/>
    <n v="4"/>
  </r>
  <r>
    <n v="40"/>
    <d v="2024-12-29T00:00:00"/>
    <x v="1"/>
    <n v="8"/>
    <n v="8"/>
    <x v="84"/>
    <n v="3"/>
    <n v="0"/>
    <n v="3"/>
  </r>
  <r>
    <n v="40"/>
    <d v="2024-12-29T00:00:00"/>
    <x v="1"/>
    <n v="9"/>
    <n v="7"/>
    <x v="77"/>
    <n v="2"/>
    <n v="0"/>
    <n v="2"/>
  </r>
  <r>
    <n v="40"/>
    <d v="2024-12-29T00:00:00"/>
    <x v="1"/>
    <n v="10"/>
    <n v="11"/>
    <x v="90"/>
    <n v="1"/>
    <n v="0"/>
    <n v="1"/>
  </r>
  <r>
    <m/>
    <m/>
    <x v="2"/>
    <m/>
    <m/>
    <x v="9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1">
  <r>
    <n v="1"/>
    <d v="2024-01-14T00:00:00"/>
    <x v="0"/>
    <n v="1"/>
    <n v="1"/>
    <x v="0"/>
    <n v="10"/>
    <n v="9"/>
    <n v="19"/>
    <n v="1"/>
    <n v="1"/>
    <n v="0"/>
  </r>
  <r>
    <n v="1"/>
    <d v="2024-01-14T00:00:00"/>
    <x v="0"/>
    <n v="2"/>
    <n v="2"/>
    <x v="1"/>
    <n v="9"/>
    <n v="7"/>
    <n v="16"/>
    <n v="0"/>
    <n v="1"/>
    <n v="0"/>
  </r>
  <r>
    <n v="1"/>
    <d v="2024-01-14T00:00:00"/>
    <x v="0"/>
    <n v="3"/>
    <n v="3"/>
    <x v="2"/>
    <n v="8"/>
    <n v="5"/>
    <n v="13"/>
    <n v="0"/>
    <n v="1"/>
    <n v="0"/>
  </r>
  <r>
    <n v="1"/>
    <d v="2024-01-14T00:00:00"/>
    <x v="0"/>
    <n v="4"/>
    <n v="11"/>
    <x v="3"/>
    <n v="7"/>
    <n v="3"/>
    <n v="10"/>
    <n v="0"/>
    <n v="0"/>
    <n v="-7"/>
  </r>
  <r>
    <n v="1"/>
    <d v="2024-01-14T00:00:00"/>
    <x v="0"/>
    <n v="5"/>
    <n v="11"/>
    <x v="4"/>
    <n v="6"/>
    <n v="1"/>
    <n v="7"/>
    <n v="0"/>
    <n v="0"/>
    <n v="-6"/>
  </r>
  <r>
    <n v="1"/>
    <d v="2024-01-14T00:00:00"/>
    <x v="0"/>
    <n v="6"/>
    <n v="6"/>
    <x v="5"/>
    <n v="5"/>
    <n v="0"/>
    <n v="5"/>
    <n v="0"/>
    <n v="0"/>
    <n v="0"/>
  </r>
  <r>
    <n v="1"/>
    <d v="2024-01-14T00:00:00"/>
    <x v="0"/>
    <n v="7"/>
    <n v="7"/>
    <x v="6"/>
    <n v="4"/>
    <n v="0"/>
    <n v="4"/>
    <n v="0"/>
    <n v="0"/>
    <n v="0"/>
  </r>
  <r>
    <n v="1"/>
    <d v="2024-01-14T00:00:00"/>
    <x v="0"/>
    <n v="8"/>
    <n v="8"/>
    <x v="7"/>
    <n v="3"/>
    <n v="0"/>
    <n v="3"/>
    <n v="0"/>
    <n v="0"/>
    <n v="0"/>
  </r>
  <r>
    <n v="1"/>
    <d v="2024-01-14T00:00:00"/>
    <x v="0"/>
    <n v="9"/>
    <n v="9"/>
    <x v="8"/>
    <n v="2"/>
    <n v="0"/>
    <n v="2"/>
    <n v="0"/>
    <n v="0"/>
    <n v="0"/>
  </r>
  <r>
    <n v="1"/>
    <d v="2024-01-14T00:00:00"/>
    <x v="0"/>
    <n v="10"/>
    <n v="11"/>
    <x v="9"/>
    <n v="1"/>
    <n v="0"/>
    <n v="1"/>
    <n v="0"/>
    <n v="0"/>
    <n v="-1"/>
  </r>
  <r>
    <n v="1"/>
    <d v="2024-01-14T00:00:00"/>
    <x v="1"/>
    <n v="1"/>
    <n v="1"/>
    <x v="10"/>
    <n v="10"/>
    <n v="9"/>
    <n v="19"/>
    <n v="1"/>
    <n v="1"/>
    <n v="0"/>
  </r>
  <r>
    <n v="1"/>
    <d v="2024-01-14T00:00:00"/>
    <x v="1"/>
    <n v="2"/>
    <n v="2"/>
    <x v="11"/>
    <n v="9"/>
    <n v="7"/>
    <n v="16"/>
    <n v="0"/>
    <n v="1"/>
    <n v="0"/>
  </r>
  <r>
    <n v="1"/>
    <d v="2024-01-14T00:00:00"/>
    <x v="1"/>
    <n v="3"/>
    <n v="3"/>
    <x v="12"/>
    <n v="8"/>
    <n v="5"/>
    <n v="13"/>
    <n v="0"/>
    <n v="1"/>
    <n v="0"/>
  </r>
  <r>
    <n v="1"/>
    <d v="2024-01-14T00:00:00"/>
    <x v="1"/>
    <n v="4"/>
    <n v="4"/>
    <x v="13"/>
    <n v="7"/>
    <n v="3"/>
    <n v="10"/>
    <n v="0"/>
    <n v="0"/>
    <n v="0"/>
  </r>
  <r>
    <n v="1"/>
    <d v="2024-01-14T00:00:00"/>
    <x v="1"/>
    <n v="5"/>
    <n v="5"/>
    <x v="14"/>
    <n v="6"/>
    <n v="1"/>
    <n v="7"/>
    <n v="0"/>
    <n v="0"/>
    <n v="0"/>
  </r>
  <r>
    <n v="1"/>
    <d v="2024-01-14T00:00:00"/>
    <x v="1"/>
    <n v="6"/>
    <n v="11"/>
    <x v="15"/>
    <n v="5"/>
    <n v="0"/>
    <n v="5"/>
    <n v="0"/>
    <n v="0"/>
    <n v="-5"/>
  </r>
  <r>
    <n v="1"/>
    <d v="2024-01-14T00:00:00"/>
    <x v="1"/>
    <n v="7"/>
    <n v="7"/>
    <x v="16"/>
    <n v="4"/>
    <n v="0"/>
    <n v="4"/>
    <n v="0"/>
    <n v="0"/>
    <n v="0"/>
  </r>
  <r>
    <n v="1"/>
    <d v="2024-01-14T00:00:00"/>
    <x v="1"/>
    <n v="8"/>
    <n v="11"/>
    <x v="17"/>
    <n v="3"/>
    <n v="0"/>
    <n v="3"/>
    <n v="0"/>
    <n v="0"/>
    <n v="-3"/>
  </r>
  <r>
    <n v="1"/>
    <d v="2024-01-14T00:00:00"/>
    <x v="1"/>
    <n v="9"/>
    <n v="11"/>
    <x v="18"/>
    <n v="2"/>
    <n v="0"/>
    <n v="2"/>
    <n v="0"/>
    <n v="0"/>
    <n v="-2"/>
  </r>
  <r>
    <n v="1"/>
    <d v="2024-01-14T00:00:00"/>
    <x v="1"/>
    <n v="10"/>
    <n v="11"/>
    <x v="19"/>
    <n v="1"/>
    <n v="0"/>
    <n v="1"/>
    <n v="0"/>
    <n v="0"/>
    <n v="-1"/>
  </r>
  <r>
    <n v="2"/>
    <d v="2024-01-21T00:00:00"/>
    <x v="0"/>
    <n v="1"/>
    <n v="1"/>
    <x v="0"/>
    <n v="10"/>
    <n v="9"/>
    <n v="19"/>
    <n v="1"/>
    <n v="1"/>
    <n v="0"/>
  </r>
  <r>
    <n v="2"/>
    <d v="2024-01-21T00:00:00"/>
    <x v="0"/>
    <n v="2"/>
    <n v="2"/>
    <x v="1"/>
    <n v="9"/>
    <n v="7"/>
    <n v="16"/>
    <n v="0"/>
    <n v="1"/>
    <n v="0"/>
  </r>
  <r>
    <n v="2"/>
    <d v="2024-01-21T00:00:00"/>
    <x v="0"/>
    <n v="3"/>
    <n v="3"/>
    <x v="2"/>
    <n v="8"/>
    <n v="5"/>
    <n v="13"/>
    <n v="0"/>
    <n v="1"/>
    <n v="0"/>
  </r>
  <r>
    <n v="2"/>
    <d v="2024-01-21T00:00:00"/>
    <x v="0"/>
    <n v="4"/>
    <n v="4"/>
    <x v="3"/>
    <n v="7"/>
    <n v="3"/>
    <n v="10"/>
    <n v="0"/>
    <n v="0"/>
    <n v="0"/>
  </r>
  <r>
    <n v="2"/>
    <d v="2024-01-21T00:00:00"/>
    <x v="0"/>
    <n v="5"/>
    <n v="5"/>
    <x v="4"/>
    <n v="6"/>
    <n v="1"/>
    <n v="7"/>
    <n v="0"/>
    <n v="0"/>
    <n v="0"/>
  </r>
  <r>
    <n v="2"/>
    <d v="2024-01-21T00:00:00"/>
    <x v="0"/>
    <n v="6"/>
    <n v="6"/>
    <x v="5"/>
    <n v="5"/>
    <n v="0"/>
    <n v="5"/>
    <n v="0"/>
    <n v="0"/>
    <n v="0"/>
  </r>
  <r>
    <n v="2"/>
    <d v="2024-01-21T00:00:00"/>
    <x v="0"/>
    <n v="7"/>
    <n v="7"/>
    <x v="6"/>
    <n v="4"/>
    <n v="0"/>
    <n v="4"/>
    <n v="0"/>
    <n v="0"/>
    <n v="0"/>
  </r>
  <r>
    <n v="2"/>
    <d v="2024-01-21T00:00:00"/>
    <x v="0"/>
    <n v="8"/>
    <n v="9"/>
    <x v="8"/>
    <n v="3"/>
    <n v="0"/>
    <n v="3"/>
    <n v="0"/>
    <n v="0"/>
    <n v="-1"/>
  </r>
  <r>
    <n v="2"/>
    <d v="2024-01-21T00:00:00"/>
    <x v="0"/>
    <n v="9"/>
    <n v="10"/>
    <x v="9"/>
    <n v="2"/>
    <n v="0"/>
    <n v="2"/>
    <n v="0"/>
    <n v="0"/>
    <n v="-1"/>
  </r>
  <r>
    <n v="2"/>
    <d v="2024-01-21T00:00:00"/>
    <x v="0"/>
    <n v="10"/>
    <n v="8"/>
    <x v="7"/>
    <n v="1"/>
    <n v="0"/>
    <n v="1"/>
    <n v="0"/>
    <n v="0"/>
    <n v="2"/>
  </r>
  <r>
    <n v="2"/>
    <d v="2024-01-21T00:00:00"/>
    <x v="1"/>
    <n v="1"/>
    <n v="1"/>
    <x v="10"/>
    <n v="10"/>
    <n v="9"/>
    <n v="19"/>
    <n v="1"/>
    <n v="1"/>
    <n v="0"/>
  </r>
  <r>
    <n v="2"/>
    <d v="2024-01-21T00:00:00"/>
    <x v="1"/>
    <n v="2"/>
    <n v="3"/>
    <x v="12"/>
    <n v="9"/>
    <n v="7"/>
    <n v="16"/>
    <n v="0"/>
    <n v="1"/>
    <n v="-1"/>
  </r>
  <r>
    <n v="2"/>
    <d v="2024-01-21T00:00:00"/>
    <x v="1"/>
    <n v="3"/>
    <n v="2"/>
    <x v="11"/>
    <n v="8"/>
    <n v="5"/>
    <n v="13"/>
    <n v="0"/>
    <n v="1"/>
    <n v="1"/>
  </r>
  <r>
    <n v="2"/>
    <d v="2024-01-21T00:00:00"/>
    <x v="1"/>
    <n v="4"/>
    <n v="4"/>
    <x v="13"/>
    <n v="7"/>
    <n v="3"/>
    <n v="10"/>
    <n v="0"/>
    <n v="0"/>
    <n v="0"/>
  </r>
  <r>
    <n v="2"/>
    <d v="2024-01-21T00:00:00"/>
    <x v="1"/>
    <n v="5"/>
    <n v="6"/>
    <x v="15"/>
    <n v="6"/>
    <n v="1"/>
    <n v="7"/>
    <n v="0"/>
    <n v="0"/>
    <n v="-1"/>
  </r>
  <r>
    <n v="2"/>
    <d v="2024-01-21T00:00:00"/>
    <x v="1"/>
    <n v="6"/>
    <n v="5"/>
    <x v="14"/>
    <n v="5"/>
    <n v="0"/>
    <n v="5"/>
    <n v="0"/>
    <n v="0"/>
    <n v="1"/>
  </r>
  <r>
    <n v="2"/>
    <d v="2024-01-21T00:00:00"/>
    <x v="1"/>
    <n v="7"/>
    <n v="7"/>
    <x v="16"/>
    <n v="4"/>
    <n v="0"/>
    <n v="4"/>
    <n v="0"/>
    <n v="0"/>
    <n v="0"/>
  </r>
  <r>
    <n v="2"/>
    <d v="2024-01-21T00:00:00"/>
    <x v="1"/>
    <n v="8"/>
    <n v="8"/>
    <x v="17"/>
    <n v="3"/>
    <n v="0"/>
    <n v="3"/>
    <n v="0"/>
    <n v="0"/>
    <n v="0"/>
  </r>
  <r>
    <n v="2"/>
    <d v="2024-01-21T00:00:00"/>
    <x v="1"/>
    <n v="9"/>
    <n v="9"/>
    <x v="18"/>
    <n v="2"/>
    <n v="0"/>
    <n v="2"/>
    <n v="0"/>
    <n v="0"/>
    <n v="0"/>
  </r>
  <r>
    <n v="2"/>
    <d v="2024-01-21T00:00:00"/>
    <x v="1"/>
    <n v="10"/>
    <n v="10"/>
    <x v="19"/>
    <n v="1"/>
    <n v="0"/>
    <n v="1"/>
    <n v="0"/>
    <n v="0"/>
    <n v="0"/>
  </r>
  <r>
    <n v="3"/>
    <d v="2024-01-28T00:00:00"/>
    <x v="0"/>
    <n v="1"/>
    <n v="1"/>
    <x v="0"/>
    <n v="10"/>
    <n v="9"/>
    <n v="19"/>
    <n v="1"/>
    <n v="1"/>
    <n v="0"/>
  </r>
  <r>
    <n v="3"/>
    <d v="2024-01-28T00:00:00"/>
    <x v="0"/>
    <n v="2"/>
    <n v="2"/>
    <x v="1"/>
    <n v="9"/>
    <n v="7"/>
    <n v="16"/>
    <n v="0"/>
    <n v="1"/>
    <n v="0"/>
  </r>
  <r>
    <n v="3"/>
    <d v="2024-01-28T00:00:00"/>
    <x v="0"/>
    <n v="3"/>
    <n v="3"/>
    <x v="2"/>
    <n v="8"/>
    <n v="5"/>
    <n v="13"/>
    <n v="0"/>
    <n v="1"/>
    <n v="0"/>
  </r>
  <r>
    <n v="3"/>
    <d v="2024-01-28T00:00:00"/>
    <x v="0"/>
    <n v="4"/>
    <n v="4"/>
    <x v="3"/>
    <n v="7"/>
    <n v="3"/>
    <n v="10"/>
    <n v="0"/>
    <n v="0"/>
    <n v="0"/>
  </r>
  <r>
    <n v="3"/>
    <d v="2024-01-28T00:00:00"/>
    <x v="0"/>
    <n v="5"/>
    <n v="5"/>
    <x v="4"/>
    <n v="6"/>
    <n v="1"/>
    <n v="7"/>
    <n v="0"/>
    <n v="0"/>
    <n v="0"/>
  </r>
  <r>
    <n v="3"/>
    <d v="2024-01-28T00:00:00"/>
    <x v="0"/>
    <n v="6"/>
    <n v="6"/>
    <x v="5"/>
    <n v="5"/>
    <n v="0"/>
    <n v="5"/>
    <n v="0"/>
    <n v="0"/>
    <n v="0"/>
  </r>
  <r>
    <n v="3"/>
    <d v="2024-01-28T00:00:00"/>
    <x v="0"/>
    <n v="7"/>
    <n v="7"/>
    <x v="6"/>
    <n v="4"/>
    <n v="0"/>
    <n v="4"/>
    <n v="0"/>
    <n v="0"/>
    <n v="0"/>
  </r>
  <r>
    <n v="3"/>
    <d v="2024-01-28T00:00:00"/>
    <x v="0"/>
    <n v="8"/>
    <n v="11"/>
    <x v="20"/>
    <n v="3"/>
    <n v="0"/>
    <n v="3"/>
    <n v="0"/>
    <n v="0"/>
    <n v="-3"/>
  </r>
  <r>
    <n v="3"/>
    <d v="2024-01-28T00:00:00"/>
    <x v="0"/>
    <n v="9"/>
    <n v="9"/>
    <x v="9"/>
    <n v="2"/>
    <n v="0"/>
    <n v="2"/>
    <n v="0"/>
    <n v="0"/>
    <n v="0"/>
  </r>
  <r>
    <n v="3"/>
    <d v="2024-01-28T00:00:00"/>
    <x v="0"/>
    <n v="10"/>
    <n v="11"/>
    <x v="21"/>
    <n v="1"/>
    <n v="0"/>
    <n v="1"/>
    <n v="0"/>
    <n v="0"/>
    <n v="-1"/>
  </r>
  <r>
    <n v="3"/>
    <d v="2024-01-28T00:00:00"/>
    <x v="1"/>
    <n v="1"/>
    <n v="1"/>
    <x v="10"/>
    <n v="10"/>
    <n v="9"/>
    <n v="19"/>
    <n v="1"/>
    <n v="1"/>
    <n v="0"/>
  </r>
  <r>
    <n v="3"/>
    <d v="2024-01-28T00:00:00"/>
    <x v="1"/>
    <n v="2"/>
    <n v="2"/>
    <x v="12"/>
    <n v="9"/>
    <n v="7"/>
    <n v="16"/>
    <n v="0"/>
    <n v="1"/>
    <n v="0"/>
  </r>
  <r>
    <n v="3"/>
    <d v="2024-01-28T00:00:00"/>
    <x v="1"/>
    <n v="3"/>
    <n v="3"/>
    <x v="11"/>
    <n v="8"/>
    <n v="5"/>
    <n v="13"/>
    <n v="0"/>
    <n v="1"/>
    <n v="0"/>
  </r>
  <r>
    <n v="3"/>
    <d v="2024-01-28T00:00:00"/>
    <x v="1"/>
    <n v="4"/>
    <n v="5"/>
    <x v="15"/>
    <n v="7"/>
    <n v="3"/>
    <n v="10"/>
    <n v="0"/>
    <n v="0"/>
    <n v="-1"/>
  </r>
  <r>
    <n v="3"/>
    <d v="2024-01-28T00:00:00"/>
    <x v="1"/>
    <n v="5"/>
    <n v="8"/>
    <x v="17"/>
    <n v="6"/>
    <n v="1"/>
    <n v="7"/>
    <n v="0"/>
    <n v="0"/>
    <n v="-3"/>
  </r>
  <r>
    <n v="3"/>
    <d v="2024-01-28T00:00:00"/>
    <x v="1"/>
    <n v="6"/>
    <n v="11"/>
    <x v="22"/>
    <n v="5"/>
    <n v="0"/>
    <n v="5"/>
    <n v="0"/>
    <n v="0"/>
    <n v="-5"/>
  </r>
  <r>
    <n v="3"/>
    <d v="2024-01-28T00:00:00"/>
    <x v="1"/>
    <n v="7"/>
    <n v="4"/>
    <x v="13"/>
    <n v="4"/>
    <n v="0"/>
    <n v="4"/>
    <n v="0"/>
    <n v="0"/>
    <n v="3"/>
  </r>
  <r>
    <n v="3"/>
    <d v="2024-01-28T00:00:00"/>
    <x v="1"/>
    <n v="8"/>
    <n v="9"/>
    <x v="18"/>
    <n v="3"/>
    <n v="0"/>
    <n v="3"/>
    <n v="0"/>
    <n v="0"/>
    <n v="-1"/>
  </r>
  <r>
    <n v="3"/>
    <d v="2024-01-28T00:00:00"/>
    <x v="1"/>
    <n v="9"/>
    <n v="10"/>
    <x v="19"/>
    <n v="2"/>
    <n v="0"/>
    <n v="2"/>
    <n v="0"/>
    <n v="0"/>
    <n v="-1"/>
  </r>
  <r>
    <n v="3"/>
    <d v="2024-01-28T00:00:00"/>
    <x v="1"/>
    <n v="10"/>
    <n v="11"/>
    <x v="23"/>
    <n v="1"/>
    <n v="0"/>
    <n v="1"/>
    <n v="0"/>
    <n v="0"/>
    <n v="-1"/>
  </r>
  <r>
    <n v="4"/>
    <d v="2024-02-04T00:00:00"/>
    <x v="0"/>
    <n v="1"/>
    <n v="4"/>
    <x v="3"/>
    <n v="10"/>
    <n v="9"/>
    <n v="19"/>
    <n v="1"/>
    <n v="1"/>
    <n v="-3"/>
  </r>
  <r>
    <n v="4"/>
    <d v="2024-02-04T00:00:00"/>
    <x v="0"/>
    <n v="2"/>
    <n v="2"/>
    <x v="1"/>
    <n v="9"/>
    <n v="7"/>
    <n v="16"/>
    <n v="0"/>
    <n v="1"/>
    <n v="0"/>
  </r>
  <r>
    <n v="4"/>
    <d v="2024-02-04T00:00:00"/>
    <x v="0"/>
    <n v="3"/>
    <n v="3"/>
    <x v="2"/>
    <n v="8"/>
    <n v="5"/>
    <n v="13"/>
    <n v="0"/>
    <n v="1"/>
    <n v="0"/>
  </r>
  <r>
    <n v="4"/>
    <d v="2024-02-04T00:00:00"/>
    <x v="0"/>
    <n v="4"/>
    <n v="5"/>
    <x v="4"/>
    <n v="7"/>
    <n v="3"/>
    <n v="10"/>
    <n v="0"/>
    <n v="0"/>
    <n v="-1"/>
  </r>
  <r>
    <n v="4"/>
    <d v="2024-02-04T00:00:00"/>
    <x v="0"/>
    <n v="5"/>
    <n v="1"/>
    <x v="0"/>
    <n v="6"/>
    <n v="1"/>
    <n v="7"/>
    <n v="0"/>
    <n v="0"/>
    <n v="4"/>
  </r>
  <r>
    <n v="4"/>
    <d v="2024-02-04T00:00:00"/>
    <x v="0"/>
    <n v="6"/>
    <n v="9"/>
    <x v="9"/>
    <n v="5"/>
    <n v="0"/>
    <n v="5"/>
    <n v="0"/>
    <n v="0"/>
    <n v="-3"/>
  </r>
  <r>
    <n v="4"/>
    <d v="2024-02-04T00:00:00"/>
    <x v="0"/>
    <n v="7"/>
    <n v="6"/>
    <x v="5"/>
    <n v="4"/>
    <n v="0"/>
    <n v="4"/>
    <n v="0"/>
    <n v="0"/>
    <n v="1"/>
  </r>
  <r>
    <n v="4"/>
    <d v="2024-02-04T00:00:00"/>
    <x v="0"/>
    <n v="8"/>
    <n v="8"/>
    <x v="20"/>
    <n v="3"/>
    <n v="0"/>
    <n v="3"/>
    <n v="0"/>
    <n v="0"/>
    <n v="0"/>
  </r>
  <r>
    <n v="4"/>
    <d v="2024-02-04T00:00:00"/>
    <x v="0"/>
    <n v="9"/>
    <n v="11"/>
    <x v="24"/>
    <n v="2"/>
    <n v="0"/>
    <n v="2"/>
    <n v="0"/>
    <n v="0"/>
    <n v="-2"/>
  </r>
  <r>
    <n v="4"/>
    <d v="2024-02-04T00:00:00"/>
    <x v="0"/>
    <n v="10"/>
    <n v="7"/>
    <x v="6"/>
    <n v="1"/>
    <n v="0"/>
    <n v="1"/>
    <n v="0"/>
    <n v="0"/>
    <n v="3"/>
  </r>
  <r>
    <n v="4"/>
    <d v="2024-02-04T00:00:00"/>
    <x v="1"/>
    <n v="1"/>
    <n v="4"/>
    <x v="15"/>
    <n v="10"/>
    <n v="9"/>
    <n v="19"/>
    <n v="1"/>
    <n v="1"/>
    <n v="-3"/>
  </r>
  <r>
    <n v="4"/>
    <d v="2024-02-04T00:00:00"/>
    <x v="1"/>
    <n v="2"/>
    <n v="11"/>
    <x v="25"/>
    <n v="9"/>
    <n v="7"/>
    <n v="16"/>
    <n v="0"/>
    <n v="1"/>
    <n v="-9"/>
  </r>
  <r>
    <n v="4"/>
    <d v="2024-02-04T00:00:00"/>
    <x v="1"/>
    <n v="3"/>
    <n v="1"/>
    <x v="10"/>
    <n v="8"/>
    <n v="5"/>
    <n v="13"/>
    <n v="0"/>
    <n v="1"/>
    <n v="2"/>
  </r>
  <r>
    <n v="4"/>
    <d v="2024-02-04T00:00:00"/>
    <x v="1"/>
    <n v="4"/>
    <n v="2"/>
    <x v="12"/>
    <n v="7"/>
    <n v="3"/>
    <n v="10"/>
    <n v="0"/>
    <n v="0"/>
    <n v="2"/>
  </r>
  <r>
    <n v="4"/>
    <d v="2024-02-04T00:00:00"/>
    <x v="1"/>
    <n v="5"/>
    <n v="6"/>
    <x v="22"/>
    <n v="6"/>
    <n v="1"/>
    <n v="7"/>
    <n v="0"/>
    <n v="0"/>
    <n v="-1"/>
  </r>
  <r>
    <n v="4"/>
    <d v="2024-02-04T00:00:00"/>
    <x v="1"/>
    <n v="6"/>
    <n v="3"/>
    <x v="11"/>
    <n v="5"/>
    <n v="0"/>
    <n v="5"/>
    <n v="0"/>
    <n v="0"/>
    <n v="3"/>
  </r>
  <r>
    <n v="4"/>
    <d v="2024-02-04T00:00:00"/>
    <x v="1"/>
    <n v="7"/>
    <n v="5"/>
    <x v="17"/>
    <n v="4"/>
    <n v="0"/>
    <n v="4"/>
    <n v="0"/>
    <n v="0"/>
    <n v="2"/>
  </r>
  <r>
    <n v="4"/>
    <d v="2024-02-04T00:00:00"/>
    <x v="1"/>
    <n v="8"/>
    <n v="9"/>
    <x v="19"/>
    <n v="3"/>
    <n v="0"/>
    <n v="3"/>
    <n v="0"/>
    <n v="0"/>
    <n v="-1"/>
  </r>
  <r>
    <n v="4"/>
    <d v="2024-02-04T00:00:00"/>
    <x v="1"/>
    <n v="9"/>
    <n v="7"/>
    <x v="13"/>
    <n v="2"/>
    <n v="0"/>
    <n v="2"/>
    <n v="0"/>
    <n v="0"/>
    <n v="2"/>
  </r>
  <r>
    <n v="4"/>
    <d v="2024-02-04T00:00:00"/>
    <x v="1"/>
    <n v="10"/>
    <n v="11"/>
    <x v="26"/>
    <n v="1"/>
    <n v="0"/>
    <n v="1"/>
    <n v="0"/>
    <n v="0"/>
    <n v="-1"/>
  </r>
  <r>
    <n v="5"/>
    <d v="2024-02-11T00:00:00"/>
    <x v="0"/>
    <n v="1"/>
    <n v="1"/>
    <x v="3"/>
    <n v="10"/>
    <n v="9"/>
    <n v="19"/>
    <n v="1"/>
    <n v="1"/>
    <n v="0"/>
  </r>
  <r>
    <n v="5"/>
    <d v="2024-02-11T00:00:00"/>
    <x v="0"/>
    <n v="2"/>
    <n v="2"/>
    <x v="1"/>
    <n v="9"/>
    <n v="7"/>
    <n v="16"/>
    <n v="0"/>
    <n v="1"/>
    <n v="0"/>
  </r>
  <r>
    <n v="5"/>
    <d v="2024-02-11T00:00:00"/>
    <x v="0"/>
    <n v="3"/>
    <n v="3"/>
    <x v="2"/>
    <n v="8"/>
    <n v="5"/>
    <n v="13"/>
    <n v="0"/>
    <n v="1"/>
    <n v="0"/>
  </r>
  <r>
    <n v="5"/>
    <d v="2024-02-11T00:00:00"/>
    <x v="0"/>
    <n v="4"/>
    <n v="4"/>
    <x v="4"/>
    <n v="7"/>
    <n v="3"/>
    <n v="10"/>
    <n v="0"/>
    <n v="0"/>
    <n v="0"/>
  </r>
  <r>
    <n v="5"/>
    <d v="2024-02-11T00:00:00"/>
    <x v="0"/>
    <n v="5"/>
    <n v="7"/>
    <x v="5"/>
    <n v="6"/>
    <n v="1"/>
    <n v="7"/>
    <n v="0"/>
    <n v="0"/>
    <n v="-2"/>
  </r>
  <r>
    <n v="5"/>
    <d v="2024-02-11T00:00:00"/>
    <x v="0"/>
    <n v="6"/>
    <n v="6"/>
    <x v="9"/>
    <n v="5"/>
    <n v="0"/>
    <n v="5"/>
    <n v="0"/>
    <n v="0"/>
    <n v="0"/>
  </r>
  <r>
    <n v="5"/>
    <d v="2024-02-11T00:00:00"/>
    <x v="0"/>
    <n v="7"/>
    <n v="8"/>
    <x v="20"/>
    <n v="4"/>
    <n v="0"/>
    <n v="4"/>
    <n v="0"/>
    <n v="0"/>
    <n v="-1"/>
  </r>
  <r>
    <n v="5"/>
    <d v="2024-02-11T00:00:00"/>
    <x v="0"/>
    <n v="8"/>
    <n v="11"/>
    <x v="27"/>
    <n v="3"/>
    <n v="0"/>
    <n v="3"/>
    <n v="0"/>
    <n v="0"/>
    <n v="-3"/>
  </r>
  <r>
    <n v="5"/>
    <d v="2024-02-11T00:00:00"/>
    <x v="0"/>
    <n v="9"/>
    <n v="9"/>
    <x v="24"/>
    <n v="2"/>
    <n v="0"/>
    <n v="2"/>
    <n v="0"/>
    <n v="0"/>
    <n v="0"/>
  </r>
  <r>
    <n v="5"/>
    <d v="2024-02-11T00:00:00"/>
    <x v="0"/>
    <n v="10"/>
    <n v="10"/>
    <x v="6"/>
    <n v="1"/>
    <n v="0"/>
    <n v="1"/>
    <n v="0"/>
    <n v="0"/>
    <n v="0"/>
  </r>
  <r>
    <n v="5"/>
    <d v="2024-02-11T00:00:00"/>
    <x v="1"/>
    <n v="1"/>
    <n v="1"/>
    <x v="15"/>
    <n v="10"/>
    <n v="9"/>
    <n v="19"/>
    <n v="1"/>
    <n v="1"/>
    <n v="0"/>
  </r>
  <r>
    <n v="5"/>
    <d v="2024-02-11T00:00:00"/>
    <x v="1"/>
    <n v="2"/>
    <n v="2"/>
    <x v="25"/>
    <n v="9"/>
    <n v="7"/>
    <n v="16"/>
    <n v="0"/>
    <n v="1"/>
    <n v="0"/>
  </r>
  <r>
    <n v="5"/>
    <d v="2024-02-11T00:00:00"/>
    <x v="1"/>
    <n v="3"/>
    <n v="3"/>
    <x v="10"/>
    <n v="8"/>
    <n v="5"/>
    <n v="13"/>
    <n v="0"/>
    <n v="1"/>
    <n v="0"/>
  </r>
  <r>
    <n v="5"/>
    <d v="2024-02-11T00:00:00"/>
    <x v="1"/>
    <n v="4"/>
    <n v="4"/>
    <x v="12"/>
    <n v="7"/>
    <n v="3"/>
    <n v="10"/>
    <n v="0"/>
    <n v="0"/>
    <n v="0"/>
  </r>
  <r>
    <n v="5"/>
    <d v="2024-02-11T00:00:00"/>
    <x v="1"/>
    <n v="5"/>
    <n v="5"/>
    <x v="22"/>
    <n v="6"/>
    <n v="1"/>
    <n v="7"/>
    <n v="0"/>
    <n v="0"/>
    <n v="0"/>
  </r>
  <r>
    <n v="5"/>
    <d v="2024-02-11T00:00:00"/>
    <x v="1"/>
    <n v="6"/>
    <n v="6"/>
    <x v="11"/>
    <n v="5"/>
    <n v="0"/>
    <n v="5"/>
    <n v="0"/>
    <n v="0"/>
    <n v="0"/>
  </r>
  <r>
    <n v="5"/>
    <d v="2024-02-11T00:00:00"/>
    <x v="1"/>
    <n v="7"/>
    <n v="7"/>
    <x v="17"/>
    <n v="4"/>
    <n v="0"/>
    <n v="4"/>
    <n v="0"/>
    <n v="0"/>
    <n v="0"/>
  </r>
  <r>
    <n v="5"/>
    <d v="2024-02-11T00:00:00"/>
    <x v="1"/>
    <n v="8"/>
    <n v="8"/>
    <x v="19"/>
    <n v="3"/>
    <n v="0"/>
    <n v="3"/>
    <n v="0"/>
    <n v="0"/>
    <n v="0"/>
  </r>
  <r>
    <n v="5"/>
    <d v="2024-02-11T00:00:00"/>
    <x v="1"/>
    <n v="9"/>
    <n v="9"/>
    <x v="13"/>
    <n v="2"/>
    <n v="0"/>
    <n v="2"/>
    <n v="0"/>
    <n v="0"/>
    <n v="0"/>
  </r>
  <r>
    <n v="5"/>
    <d v="2024-02-11T00:00:00"/>
    <x v="1"/>
    <n v="10"/>
    <n v="10"/>
    <x v="26"/>
    <n v="1"/>
    <n v="0"/>
    <n v="1"/>
    <n v="0"/>
    <n v="0"/>
    <n v="0"/>
  </r>
  <r>
    <n v="6"/>
    <d v="2024-02-18T00:00:00"/>
    <x v="0"/>
    <n v="1"/>
    <n v="1"/>
    <x v="3"/>
    <n v="10"/>
    <n v="9"/>
    <n v="19"/>
    <n v="1"/>
    <n v="1"/>
    <n v="0"/>
  </r>
  <r>
    <n v="6"/>
    <d v="2024-02-18T00:00:00"/>
    <x v="0"/>
    <n v="2"/>
    <n v="6"/>
    <x v="9"/>
    <n v="9"/>
    <n v="7"/>
    <n v="16"/>
    <n v="0"/>
    <n v="1"/>
    <n v="-4"/>
  </r>
  <r>
    <n v="6"/>
    <d v="2024-02-18T00:00:00"/>
    <x v="0"/>
    <n v="3"/>
    <n v="4"/>
    <x v="4"/>
    <n v="8"/>
    <n v="5"/>
    <n v="13"/>
    <n v="0"/>
    <n v="1"/>
    <n v="-1"/>
  </r>
  <r>
    <n v="6"/>
    <d v="2024-02-18T00:00:00"/>
    <x v="0"/>
    <n v="4"/>
    <n v="9"/>
    <x v="24"/>
    <n v="7"/>
    <n v="3"/>
    <n v="10"/>
    <n v="0"/>
    <n v="0"/>
    <n v="-5"/>
  </r>
  <r>
    <n v="6"/>
    <d v="2024-02-18T00:00:00"/>
    <x v="0"/>
    <n v="5"/>
    <n v="2"/>
    <x v="1"/>
    <n v="6"/>
    <n v="1"/>
    <n v="7"/>
    <n v="0"/>
    <n v="0"/>
    <n v="3"/>
  </r>
  <r>
    <n v="6"/>
    <d v="2024-02-18T00:00:00"/>
    <x v="0"/>
    <n v="6"/>
    <n v="3"/>
    <x v="2"/>
    <n v="5"/>
    <n v="0"/>
    <n v="5"/>
    <n v="0"/>
    <n v="0"/>
    <n v="3"/>
  </r>
  <r>
    <n v="6"/>
    <d v="2024-02-18T00:00:00"/>
    <x v="0"/>
    <n v="7"/>
    <n v="7"/>
    <x v="20"/>
    <n v="4"/>
    <n v="0"/>
    <n v="4"/>
    <n v="0"/>
    <n v="0"/>
    <n v="0"/>
  </r>
  <r>
    <n v="6"/>
    <d v="2024-02-18T00:00:00"/>
    <x v="0"/>
    <n v="8"/>
    <n v="8"/>
    <x v="27"/>
    <n v="3"/>
    <n v="0"/>
    <n v="3"/>
    <n v="0"/>
    <n v="0"/>
    <n v="0"/>
  </r>
  <r>
    <n v="6"/>
    <d v="2024-02-18T00:00:00"/>
    <x v="0"/>
    <n v="9"/>
    <n v="11"/>
    <x v="28"/>
    <n v="2"/>
    <n v="0"/>
    <n v="2"/>
    <n v="0"/>
    <n v="0"/>
    <n v="-2"/>
  </r>
  <r>
    <n v="6"/>
    <d v="2024-02-18T00:00:00"/>
    <x v="0"/>
    <n v="10"/>
    <n v="10"/>
    <x v="6"/>
    <n v="1"/>
    <n v="0"/>
    <n v="1"/>
    <n v="0"/>
    <n v="0"/>
    <n v="0"/>
  </r>
  <r>
    <n v="6"/>
    <d v="2024-02-18T00:00:00"/>
    <x v="1"/>
    <n v="1"/>
    <n v="1"/>
    <x v="15"/>
    <n v="10"/>
    <n v="9"/>
    <n v="19"/>
    <n v="1"/>
    <n v="1"/>
    <n v="0"/>
  </r>
  <r>
    <n v="6"/>
    <d v="2024-02-18T00:00:00"/>
    <x v="1"/>
    <n v="2"/>
    <n v="2"/>
    <x v="25"/>
    <n v="9"/>
    <n v="7"/>
    <n v="16"/>
    <n v="0"/>
    <n v="1"/>
    <n v="0"/>
  </r>
  <r>
    <n v="6"/>
    <d v="2024-02-18T00:00:00"/>
    <x v="1"/>
    <n v="3"/>
    <n v="3"/>
    <x v="10"/>
    <n v="8"/>
    <n v="5"/>
    <n v="13"/>
    <n v="0"/>
    <n v="1"/>
    <n v="0"/>
  </r>
  <r>
    <n v="6"/>
    <d v="2024-02-18T00:00:00"/>
    <x v="1"/>
    <n v="4"/>
    <n v="4"/>
    <x v="12"/>
    <n v="7"/>
    <n v="3"/>
    <n v="10"/>
    <n v="0"/>
    <n v="0"/>
    <n v="0"/>
  </r>
  <r>
    <n v="6"/>
    <d v="2024-02-18T00:00:00"/>
    <x v="1"/>
    <n v="5"/>
    <n v="5"/>
    <x v="22"/>
    <n v="6"/>
    <n v="1"/>
    <n v="7"/>
    <n v="0"/>
    <n v="0"/>
    <n v="0"/>
  </r>
  <r>
    <n v="6"/>
    <d v="2024-02-18T00:00:00"/>
    <x v="1"/>
    <n v="6"/>
    <n v="10"/>
    <x v="26"/>
    <n v="5"/>
    <n v="0"/>
    <n v="5"/>
    <n v="0"/>
    <n v="0"/>
    <n v="-4"/>
  </r>
  <r>
    <n v="6"/>
    <d v="2024-02-18T00:00:00"/>
    <x v="1"/>
    <n v="7"/>
    <n v="7"/>
    <x v="17"/>
    <n v="4"/>
    <n v="0"/>
    <n v="4"/>
    <n v="0"/>
    <n v="0"/>
    <n v="0"/>
  </r>
  <r>
    <n v="6"/>
    <d v="2024-02-18T00:00:00"/>
    <x v="1"/>
    <n v="8"/>
    <n v="8"/>
    <x v="19"/>
    <n v="3"/>
    <n v="0"/>
    <n v="3"/>
    <n v="0"/>
    <n v="0"/>
    <n v="0"/>
  </r>
  <r>
    <n v="6"/>
    <d v="2024-02-18T00:00:00"/>
    <x v="1"/>
    <n v="9"/>
    <n v="9"/>
    <x v="13"/>
    <n v="2"/>
    <n v="0"/>
    <n v="2"/>
    <n v="0"/>
    <n v="0"/>
    <n v="0"/>
  </r>
  <r>
    <n v="6"/>
    <d v="2024-02-18T00:00:00"/>
    <x v="1"/>
    <n v="10"/>
    <n v="6"/>
    <x v="11"/>
    <n v="1"/>
    <n v="0"/>
    <n v="1"/>
    <n v="0"/>
    <n v="0"/>
    <n v="4"/>
  </r>
  <r>
    <n v="7"/>
    <d v="2024-02-25T00:00:00"/>
    <x v="0"/>
    <n v="1"/>
    <n v="1"/>
    <x v="3"/>
    <n v="10"/>
    <n v="9"/>
    <n v="19"/>
    <n v="1"/>
    <n v="1"/>
    <n v="0"/>
  </r>
  <r>
    <n v="7"/>
    <d v="2024-02-25T00:00:00"/>
    <x v="0"/>
    <n v="2"/>
    <n v="2"/>
    <x v="9"/>
    <n v="9"/>
    <n v="7"/>
    <n v="16"/>
    <n v="0"/>
    <n v="1"/>
    <n v="0"/>
  </r>
  <r>
    <n v="7"/>
    <d v="2024-02-25T00:00:00"/>
    <x v="0"/>
    <n v="3"/>
    <n v="4"/>
    <x v="24"/>
    <n v="8"/>
    <n v="5"/>
    <n v="13"/>
    <n v="0"/>
    <n v="1"/>
    <n v="-1"/>
  </r>
  <r>
    <n v="7"/>
    <d v="2024-02-25T00:00:00"/>
    <x v="0"/>
    <n v="4"/>
    <n v="7"/>
    <x v="20"/>
    <n v="7"/>
    <n v="3"/>
    <n v="10"/>
    <n v="0"/>
    <n v="0"/>
    <n v="-3"/>
  </r>
  <r>
    <n v="7"/>
    <d v="2024-02-25T00:00:00"/>
    <x v="0"/>
    <n v="5"/>
    <n v="6"/>
    <x v="2"/>
    <n v="6"/>
    <n v="1"/>
    <n v="7"/>
    <n v="0"/>
    <n v="0"/>
    <n v="-1"/>
  </r>
  <r>
    <n v="7"/>
    <d v="2024-02-25T00:00:00"/>
    <x v="0"/>
    <n v="6"/>
    <n v="8"/>
    <x v="27"/>
    <n v="5"/>
    <n v="0"/>
    <n v="5"/>
    <n v="0"/>
    <n v="0"/>
    <n v="-2"/>
  </r>
  <r>
    <n v="7"/>
    <d v="2024-02-25T00:00:00"/>
    <x v="0"/>
    <n v="7"/>
    <n v="3"/>
    <x v="4"/>
    <n v="4"/>
    <n v="0"/>
    <n v="4"/>
    <n v="0"/>
    <n v="0"/>
    <n v="4"/>
  </r>
  <r>
    <n v="7"/>
    <d v="2024-02-25T00:00:00"/>
    <x v="0"/>
    <n v="8"/>
    <n v="9"/>
    <x v="28"/>
    <n v="3"/>
    <n v="0"/>
    <n v="3"/>
    <n v="0"/>
    <n v="0"/>
    <n v="-1"/>
  </r>
  <r>
    <n v="7"/>
    <d v="2024-02-25T00:00:00"/>
    <x v="0"/>
    <n v="9"/>
    <n v="11"/>
    <x v="29"/>
    <n v="2"/>
    <n v="0"/>
    <n v="2"/>
    <n v="0"/>
    <n v="0"/>
    <n v="-2"/>
  </r>
  <r>
    <n v="7"/>
    <d v="2024-02-25T00:00:00"/>
    <x v="0"/>
    <n v="10"/>
    <n v="11"/>
    <x v="30"/>
    <n v="1"/>
    <n v="0"/>
    <n v="1"/>
    <n v="0"/>
    <n v="0"/>
    <n v="-1"/>
  </r>
  <r>
    <n v="7"/>
    <d v="2024-02-25T00:00:00"/>
    <x v="1"/>
    <n v="1"/>
    <n v="1"/>
    <x v="15"/>
    <n v="10"/>
    <n v="9"/>
    <n v="19"/>
    <n v="1"/>
    <n v="1"/>
    <n v="0"/>
  </r>
  <r>
    <n v="7"/>
    <d v="2024-02-25T00:00:00"/>
    <x v="1"/>
    <n v="2"/>
    <n v="2"/>
    <x v="25"/>
    <n v="9"/>
    <n v="7"/>
    <n v="16"/>
    <n v="0"/>
    <n v="1"/>
    <n v="0"/>
  </r>
  <r>
    <n v="7"/>
    <d v="2024-02-25T00:00:00"/>
    <x v="1"/>
    <n v="3"/>
    <n v="5"/>
    <x v="22"/>
    <n v="8"/>
    <n v="5"/>
    <n v="13"/>
    <n v="0"/>
    <n v="1"/>
    <n v="-2"/>
  </r>
  <r>
    <n v="7"/>
    <d v="2024-02-25T00:00:00"/>
    <x v="1"/>
    <n v="4"/>
    <n v="4"/>
    <x v="12"/>
    <n v="7"/>
    <n v="3"/>
    <n v="10"/>
    <n v="0"/>
    <n v="0"/>
    <n v="0"/>
  </r>
  <r>
    <n v="7"/>
    <d v="2024-02-25T00:00:00"/>
    <x v="1"/>
    <n v="5"/>
    <n v="3"/>
    <x v="10"/>
    <n v="6"/>
    <n v="1"/>
    <n v="7"/>
    <n v="0"/>
    <n v="0"/>
    <n v="2"/>
  </r>
  <r>
    <n v="7"/>
    <d v="2024-02-25T00:00:00"/>
    <x v="1"/>
    <n v="6"/>
    <n v="6"/>
    <x v="26"/>
    <n v="5"/>
    <n v="0"/>
    <n v="5"/>
    <n v="0"/>
    <n v="0"/>
    <n v="0"/>
  </r>
  <r>
    <n v="7"/>
    <d v="2024-02-25T00:00:00"/>
    <x v="1"/>
    <n v="7"/>
    <n v="11"/>
    <x v="31"/>
    <n v="4"/>
    <n v="0"/>
    <n v="4"/>
    <n v="0"/>
    <n v="0"/>
    <n v="-4"/>
  </r>
  <r>
    <n v="7"/>
    <d v="2024-02-25T00:00:00"/>
    <x v="1"/>
    <n v="8"/>
    <n v="9"/>
    <x v="13"/>
    <n v="3"/>
    <n v="0"/>
    <n v="3"/>
    <n v="0"/>
    <n v="0"/>
    <n v="-1"/>
  </r>
  <r>
    <n v="7"/>
    <d v="2024-02-25T00:00:00"/>
    <x v="1"/>
    <n v="9"/>
    <n v="11"/>
    <x v="32"/>
    <n v="2"/>
    <n v="0"/>
    <n v="2"/>
    <n v="0"/>
    <n v="0"/>
    <n v="-2"/>
  </r>
  <r>
    <n v="7"/>
    <d v="2024-02-25T00:00:00"/>
    <x v="1"/>
    <n v="10"/>
    <n v="11"/>
    <x v="33"/>
    <n v="1"/>
    <n v="0"/>
    <n v="1"/>
    <n v="0"/>
    <n v="0"/>
    <n v="-1"/>
  </r>
  <r>
    <n v="8"/>
    <d v="2024-03-03T00:00:00"/>
    <x v="0"/>
    <n v="1"/>
    <n v="2"/>
    <x v="9"/>
    <n v="10"/>
    <n v="9"/>
    <n v="19"/>
    <n v="1"/>
    <n v="1"/>
    <n v="-1"/>
  </r>
  <r>
    <n v="8"/>
    <d v="2024-03-03T00:00:00"/>
    <x v="0"/>
    <n v="2"/>
    <n v="3"/>
    <x v="24"/>
    <n v="9"/>
    <n v="7"/>
    <n v="16"/>
    <n v="0"/>
    <n v="1"/>
    <n v="-1"/>
  </r>
  <r>
    <n v="8"/>
    <d v="2024-03-03T00:00:00"/>
    <x v="0"/>
    <n v="3"/>
    <n v="1"/>
    <x v="3"/>
    <n v="8"/>
    <n v="5"/>
    <n v="13"/>
    <n v="0"/>
    <n v="1"/>
    <n v="2"/>
  </r>
  <r>
    <n v="8"/>
    <d v="2024-03-03T00:00:00"/>
    <x v="0"/>
    <n v="4"/>
    <n v="4"/>
    <x v="20"/>
    <n v="7"/>
    <n v="3"/>
    <n v="10"/>
    <n v="0"/>
    <n v="0"/>
    <n v="0"/>
  </r>
  <r>
    <n v="8"/>
    <d v="2024-03-03T00:00:00"/>
    <x v="0"/>
    <n v="5"/>
    <n v="9"/>
    <x v="29"/>
    <n v="6"/>
    <n v="1"/>
    <n v="7"/>
    <n v="0"/>
    <n v="0"/>
    <n v="-4"/>
  </r>
  <r>
    <n v="8"/>
    <d v="2024-03-03T00:00:00"/>
    <x v="0"/>
    <n v="6"/>
    <n v="8"/>
    <x v="28"/>
    <n v="5"/>
    <n v="0"/>
    <n v="5"/>
    <n v="0"/>
    <n v="0"/>
    <n v="-2"/>
  </r>
  <r>
    <n v="8"/>
    <d v="2024-03-03T00:00:00"/>
    <x v="0"/>
    <n v="7"/>
    <n v="10"/>
    <x v="30"/>
    <n v="4"/>
    <n v="0"/>
    <n v="4"/>
    <n v="0"/>
    <n v="0"/>
    <n v="-3"/>
  </r>
  <r>
    <n v="8"/>
    <d v="2024-03-03T00:00:00"/>
    <x v="0"/>
    <n v="8"/>
    <n v="5"/>
    <x v="2"/>
    <n v="3"/>
    <n v="0"/>
    <n v="3"/>
    <n v="0"/>
    <n v="0"/>
    <n v="3"/>
  </r>
  <r>
    <n v="8"/>
    <d v="2024-03-03T00:00:00"/>
    <x v="0"/>
    <n v="9"/>
    <n v="11"/>
    <x v="34"/>
    <n v="2"/>
    <n v="0"/>
    <n v="2"/>
    <n v="0"/>
    <n v="0"/>
    <n v="-2"/>
  </r>
  <r>
    <n v="8"/>
    <d v="2024-03-03T00:00:00"/>
    <x v="0"/>
    <n v="10"/>
    <n v="7"/>
    <x v="4"/>
    <n v="1"/>
    <n v="0"/>
    <n v="1"/>
    <n v="0"/>
    <n v="0"/>
    <n v="3"/>
  </r>
  <r>
    <n v="8"/>
    <d v="2024-03-03T00:00:00"/>
    <x v="1"/>
    <n v="1"/>
    <n v="1"/>
    <x v="15"/>
    <n v="10"/>
    <n v="9"/>
    <n v="19"/>
    <n v="1"/>
    <n v="1"/>
    <n v="0"/>
  </r>
  <r>
    <n v="8"/>
    <d v="2024-03-03T00:00:00"/>
    <x v="1"/>
    <n v="2"/>
    <n v="3"/>
    <x v="22"/>
    <n v="9"/>
    <n v="7"/>
    <n v="16"/>
    <n v="0"/>
    <n v="1"/>
    <n v="-1"/>
  </r>
  <r>
    <n v="8"/>
    <d v="2024-03-03T00:00:00"/>
    <x v="1"/>
    <n v="3"/>
    <n v="2"/>
    <x v="25"/>
    <n v="8"/>
    <n v="5"/>
    <n v="13"/>
    <n v="0"/>
    <n v="1"/>
    <n v="1"/>
  </r>
  <r>
    <n v="8"/>
    <d v="2024-03-03T00:00:00"/>
    <x v="1"/>
    <n v="4"/>
    <n v="9"/>
    <x v="32"/>
    <n v="7"/>
    <n v="3"/>
    <n v="10"/>
    <n v="0"/>
    <n v="0"/>
    <n v="-5"/>
  </r>
  <r>
    <n v="8"/>
    <d v="2024-03-03T00:00:00"/>
    <x v="1"/>
    <n v="5"/>
    <n v="11"/>
    <x v="35"/>
    <n v="6"/>
    <n v="1"/>
    <n v="7"/>
    <n v="0"/>
    <n v="0"/>
    <n v="-6"/>
  </r>
  <r>
    <n v="8"/>
    <d v="2024-03-03T00:00:00"/>
    <x v="1"/>
    <n v="6"/>
    <n v="6"/>
    <x v="26"/>
    <n v="5"/>
    <n v="0"/>
    <n v="5"/>
    <n v="0"/>
    <n v="0"/>
    <n v="0"/>
  </r>
  <r>
    <n v="8"/>
    <d v="2024-03-03T00:00:00"/>
    <x v="1"/>
    <n v="7"/>
    <n v="10"/>
    <x v="33"/>
    <n v="4"/>
    <n v="0"/>
    <n v="4"/>
    <n v="0"/>
    <n v="0"/>
    <n v="-3"/>
  </r>
  <r>
    <n v="8"/>
    <d v="2024-03-03T00:00:00"/>
    <x v="1"/>
    <n v="8"/>
    <n v="8"/>
    <x v="13"/>
    <n v="3"/>
    <n v="0"/>
    <n v="3"/>
    <n v="0"/>
    <n v="0"/>
    <n v="0"/>
  </r>
  <r>
    <n v="8"/>
    <d v="2024-03-03T00:00:00"/>
    <x v="1"/>
    <n v="9"/>
    <n v="5"/>
    <x v="10"/>
    <n v="2"/>
    <n v="0"/>
    <n v="2"/>
    <n v="0"/>
    <n v="0"/>
    <n v="4"/>
  </r>
  <r>
    <n v="8"/>
    <d v="2024-03-03T00:00:00"/>
    <x v="1"/>
    <n v="10"/>
    <n v="4"/>
    <x v="12"/>
    <n v="1"/>
    <n v="0"/>
    <n v="1"/>
    <n v="0"/>
    <n v="0"/>
    <n v="6"/>
  </r>
  <r>
    <n v="9"/>
    <d v="2024-03-10T00:00:00"/>
    <x v="0"/>
    <n v="1"/>
    <n v="1"/>
    <x v="9"/>
    <n v="10"/>
    <n v="9"/>
    <n v="19"/>
    <n v="1"/>
    <n v="1"/>
    <n v="0"/>
  </r>
  <r>
    <n v="9"/>
    <d v="2024-03-10T00:00:00"/>
    <x v="0"/>
    <n v="2"/>
    <n v="2"/>
    <x v="24"/>
    <n v="9"/>
    <n v="7"/>
    <n v="16"/>
    <n v="0"/>
    <n v="1"/>
    <n v="0"/>
  </r>
  <r>
    <n v="9"/>
    <d v="2024-03-10T00:00:00"/>
    <x v="0"/>
    <n v="3"/>
    <n v="4"/>
    <x v="20"/>
    <n v="8"/>
    <n v="5"/>
    <n v="13"/>
    <n v="0"/>
    <n v="1"/>
    <n v="-1"/>
  </r>
  <r>
    <n v="9"/>
    <d v="2024-03-10T00:00:00"/>
    <x v="0"/>
    <n v="4"/>
    <n v="3"/>
    <x v="3"/>
    <n v="7"/>
    <n v="3"/>
    <n v="10"/>
    <n v="0"/>
    <n v="0"/>
    <n v="1"/>
  </r>
  <r>
    <n v="9"/>
    <d v="2024-03-10T00:00:00"/>
    <x v="0"/>
    <n v="5"/>
    <n v="6"/>
    <x v="28"/>
    <n v="6"/>
    <n v="1"/>
    <n v="7"/>
    <n v="0"/>
    <n v="0"/>
    <n v="-1"/>
  </r>
  <r>
    <n v="9"/>
    <d v="2024-03-10T00:00:00"/>
    <x v="0"/>
    <n v="6"/>
    <n v="5"/>
    <x v="29"/>
    <n v="5"/>
    <n v="0"/>
    <n v="5"/>
    <n v="0"/>
    <n v="0"/>
    <n v="1"/>
  </r>
  <r>
    <n v="9"/>
    <d v="2024-03-10T00:00:00"/>
    <x v="0"/>
    <n v="7"/>
    <n v="7"/>
    <x v="30"/>
    <n v="4"/>
    <n v="0"/>
    <n v="4"/>
    <n v="0"/>
    <n v="0"/>
    <n v="0"/>
  </r>
  <r>
    <n v="9"/>
    <d v="2024-03-10T00:00:00"/>
    <x v="0"/>
    <n v="8"/>
    <n v="9"/>
    <x v="34"/>
    <n v="3"/>
    <n v="0"/>
    <n v="3"/>
    <n v="0"/>
    <n v="0"/>
    <n v="-1"/>
  </r>
  <r>
    <n v="9"/>
    <d v="2024-03-10T00:00:00"/>
    <x v="0"/>
    <n v="9"/>
    <n v="11"/>
    <x v="36"/>
    <n v="2"/>
    <n v="0"/>
    <n v="2"/>
    <n v="0"/>
    <n v="0"/>
    <n v="-2"/>
  </r>
  <r>
    <n v="9"/>
    <d v="2024-03-10T00:00:00"/>
    <x v="0"/>
    <n v="10"/>
    <n v="8"/>
    <x v="2"/>
    <n v="1"/>
    <n v="0"/>
    <n v="1"/>
    <n v="0"/>
    <n v="0"/>
    <n v="2"/>
  </r>
  <r>
    <n v="9"/>
    <d v="2024-03-10T00:00:00"/>
    <x v="1"/>
    <n v="1"/>
    <n v="1"/>
    <x v="15"/>
    <n v="10"/>
    <n v="9"/>
    <n v="19"/>
    <n v="1"/>
    <n v="1"/>
    <n v="0"/>
  </r>
  <r>
    <n v="9"/>
    <d v="2024-03-10T00:00:00"/>
    <x v="1"/>
    <n v="2"/>
    <n v="7"/>
    <x v="33"/>
    <n v="9"/>
    <n v="7"/>
    <n v="16"/>
    <n v="0"/>
    <n v="1"/>
    <n v="-5"/>
  </r>
  <r>
    <n v="9"/>
    <d v="2024-03-10T00:00:00"/>
    <x v="1"/>
    <n v="3"/>
    <n v="4"/>
    <x v="32"/>
    <n v="8"/>
    <n v="5"/>
    <n v="13"/>
    <n v="0"/>
    <n v="1"/>
    <n v="-1"/>
  </r>
  <r>
    <n v="9"/>
    <d v="2024-03-10T00:00:00"/>
    <x v="1"/>
    <n v="4"/>
    <n v="3"/>
    <x v="25"/>
    <n v="7"/>
    <n v="3"/>
    <n v="10"/>
    <n v="0"/>
    <n v="0"/>
    <n v="1"/>
  </r>
  <r>
    <n v="9"/>
    <d v="2024-03-10T00:00:00"/>
    <x v="1"/>
    <n v="5"/>
    <n v="5"/>
    <x v="35"/>
    <n v="6"/>
    <n v="1"/>
    <n v="7"/>
    <n v="0"/>
    <n v="0"/>
    <n v="0"/>
  </r>
  <r>
    <n v="9"/>
    <d v="2024-03-10T00:00:00"/>
    <x v="1"/>
    <n v="6"/>
    <n v="2"/>
    <x v="22"/>
    <n v="5"/>
    <n v="0"/>
    <n v="5"/>
    <n v="0"/>
    <n v="0"/>
    <n v="4"/>
  </r>
  <r>
    <n v="9"/>
    <d v="2024-03-10T00:00:00"/>
    <x v="1"/>
    <n v="7"/>
    <n v="11"/>
    <x v="37"/>
    <n v="4"/>
    <n v="0"/>
    <n v="4"/>
    <n v="0"/>
    <n v="0"/>
    <n v="-4"/>
  </r>
  <r>
    <n v="9"/>
    <d v="2024-03-10T00:00:00"/>
    <x v="1"/>
    <n v="8"/>
    <n v="6"/>
    <x v="26"/>
    <n v="3"/>
    <n v="0"/>
    <n v="3"/>
    <n v="0"/>
    <n v="0"/>
    <n v="2"/>
  </r>
  <r>
    <n v="9"/>
    <d v="2024-03-10T00:00:00"/>
    <x v="1"/>
    <n v="9"/>
    <n v="8"/>
    <x v="13"/>
    <n v="2"/>
    <n v="0"/>
    <n v="2"/>
    <n v="0"/>
    <n v="0"/>
    <n v="1"/>
  </r>
  <r>
    <n v="9"/>
    <d v="2024-03-10T00:00:00"/>
    <x v="1"/>
    <n v="10"/>
    <n v="9"/>
    <x v="10"/>
    <n v="1"/>
    <n v="0"/>
    <n v="1"/>
    <n v="0"/>
    <n v="0"/>
    <n v="1"/>
  </r>
  <r>
    <n v="10"/>
    <d v="2024-03-17T00:00:00"/>
    <x v="0"/>
    <n v="1"/>
    <n v="2"/>
    <x v="24"/>
    <n v="10"/>
    <n v="9"/>
    <n v="19"/>
    <n v="1"/>
    <n v="1"/>
    <n v="-1"/>
  </r>
  <r>
    <n v="10"/>
    <d v="2024-03-17T00:00:00"/>
    <x v="0"/>
    <n v="2"/>
    <n v="3"/>
    <x v="20"/>
    <n v="9"/>
    <n v="7"/>
    <n v="16"/>
    <n v="0"/>
    <n v="1"/>
    <n v="-1"/>
  </r>
  <r>
    <n v="10"/>
    <d v="2024-03-17T00:00:00"/>
    <x v="0"/>
    <n v="3"/>
    <n v="1"/>
    <x v="9"/>
    <n v="8"/>
    <n v="5"/>
    <n v="13"/>
    <n v="0"/>
    <n v="1"/>
    <n v="2"/>
  </r>
  <r>
    <n v="10"/>
    <d v="2024-03-17T00:00:00"/>
    <x v="0"/>
    <n v="4"/>
    <n v="5"/>
    <x v="28"/>
    <n v="7"/>
    <n v="3"/>
    <n v="10"/>
    <n v="0"/>
    <n v="0"/>
    <n v="-1"/>
  </r>
  <r>
    <n v="10"/>
    <d v="2024-03-17T00:00:00"/>
    <x v="0"/>
    <n v="5"/>
    <n v="6"/>
    <x v="29"/>
    <n v="6"/>
    <n v="1"/>
    <n v="7"/>
    <n v="0"/>
    <n v="0"/>
    <n v="-1"/>
  </r>
  <r>
    <n v="10"/>
    <d v="2024-03-17T00:00:00"/>
    <x v="0"/>
    <n v="6"/>
    <n v="4"/>
    <x v="3"/>
    <n v="5"/>
    <n v="0"/>
    <n v="5"/>
    <n v="0"/>
    <n v="0"/>
    <n v="2"/>
  </r>
  <r>
    <n v="10"/>
    <d v="2024-03-17T00:00:00"/>
    <x v="0"/>
    <n v="7"/>
    <n v="7"/>
    <x v="30"/>
    <n v="4"/>
    <n v="0"/>
    <n v="4"/>
    <n v="0"/>
    <n v="0"/>
    <n v="0"/>
  </r>
  <r>
    <n v="10"/>
    <d v="2024-03-17T00:00:00"/>
    <x v="0"/>
    <n v="8"/>
    <n v="8"/>
    <x v="34"/>
    <n v="3"/>
    <n v="0"/>
    <n v="3"/>
    <n v="0"/>
    <n v="0"/>
    <n v="0"/>
  </r>
  <r>
    <n v="10"/>
    <d v="2024-03-17T00:00:00"/>
    <x v="0"/>
    <n v="9"/>
    <n v="9"/>
    <x v="36"/>
    <n v="2"/>
    <n v="0"/>
    <n v="2"/>
    <n v="0"/>
    <n v="0"/>
    <n v="0"/>
  </r>
  <r>
    <n v="10"/>
    <d v="2024-03-17T00:00:00"/>
    <x v="0"/>
    <n v="10"/>
    <n v="11"/>
    <x v="38"/>
    <n v="1"/>
    <n v="0"/>
    <n v="1"/>
    <n v="0"/>
    <n v="0"/>
    <n v="-1"/>
  </r>
  <r>
    <n v="10"/>
    <d v="2024-03-17T00:00:00"/>
    <x v="1"/>
    <n v="1"/>
    <n v="2"/>
    <x v="33"/>
    <n v="10"/>
    <n v="9"/>
    <n v="19"/>
    <n v="1"/>
    <n v="1"/>
    <n v="-1"/>
  </r>
  <r>
    <n v="10"/>
    <d v="2024-03-17T00:00:00"/>
    <x v="1"/>
    <n v="2"/>
    <n v="3"/>
    <x v="32"/>
    <n v="9"/>
    <n v="7"/>
    <n v="16"/>
    <n v="0"/>
    <n v="1"/>
    <n v="-1"/>
  </r>
  <r>
    <n v="10"/>
    <d v="2024-03-17T00:00:00"/>
    <x v="1"/>
    <n v="3"/>
    <n v="1"/>
    <x v="15"/>
    <n v="8"/>
    <n v="5"/>
    <n v="13"/>
    <n v="0"/>
    <n v="1"/>
    <n v="2"/>
  </r>
  <r>
    <n v="10"/>
    <d v="2024-03-17T00:00:00"/>
    <x v="1"/>
    <n v="4"/>
    <n v="5"/>
    <x v="35"/>
    <n v="7"/>
    <n v="3"/>
    <n v="10"/>
    <n v="0"/>
    <n v="0"/>
    <n v="-1"/>
  </r>
  <r>
    <n v="10"/>
    <d v="2024-03-17T00:00:00"/>
    <x v="1"/>
    <n v="5"/>
    <n v="7"/>
    <x v="37"/>
    <n v="6"/>
    <n v="1"/>
    <n v="7"/>
    <n v="0"/>
    <n v="0"/>
    <n v="-2"/>
  </r>
  <r>
    <n v="10"/>
    <d v="2024-03-17T00:00:00"/>
    <x v="1"/>
    <n v="6"/>
    <n v="6"/>
    <x v="22"/>
    <n v="5"/>
    <n v="0"/>
    <n v="5"/>
    <n v="0"/>
    <n v="0"/>
    <n v="0"/>
  </r>
  <r>
    <n v="10"/>
    <d v="2024-03-17T00:00:00"/>
    <x v="1"/>
    <n v="7"/>
    <n v="4"/>
    <x v="25"/>
    <n v="4"/>
    <n v="0"/>
    <n v="4"/>
    <n v="0"/>
    <n v="0"/>
    <n v="3"/>
  </r>
  <r>
    <n v="10"/>
    <d v="2024-03-17T00:00:00"/>
    <x v="1"/>
    <n v="8"/>
    <n v="8"/>
    <x v="26"/>
    <n v="3"/>
    <n v="0"/>
    <n v="3"/>
    <n v="0"/>
    <n v="0"/>
    <n v="0"/>
  </r>
  <r>
    <n v="10"/>
    <d v="2024-03-17T00:00:00"/>
    <x v="1"/>
    <n v="9"/>
    <n v="9"/>
    <x v="13"/>
    <n v="2"/>
    <n v="0"/>
    <n v="2"/>
    <n v="0"/>
    <n v="0"/>
    <n v="0"/>
  </r>
  <r>
    <n v="10"/>
    <d v="2024-03-17T00:00:00"/>
    <x v="1"/>
    <n v="10"/>
    <n v="10"/>
    <x v="10"/>
    <n v="1"/>
    <n v="0"/>
    <n v="1"/>
    <n v="0"/>
    <n v="0"/>
    <n v="0"/>
  </r>
  <r>
    <n v="11"/>
    <d v="2024-03-24T00:00:00"/>
    <x v="0"/>
    <n v="1"/>
    <n v="1"/>
    <x v="24"/>
    <n v="10"/>
    <n v="9"/>
    <n v="19"/>
    <n v="1"/>
    <n v="1"/>
    <n v="0"/>
  </r>
  <r>
    <n v="11"/>
    <d v="2024-03-24T00:00:00"/>
    <x v="0"/>
    <n v="2"/>
    <n v="2"/>
    <x v="20"/>
    <n v="9"/>
    <n v="7"/>
    <n v="16"/>
    <n v="0"/>
    <n v="1"/>
    <n v="0"/>
  </r>
  <r>
    <n v="11"/>
    <d v="2024-03-24T00:00:00"/>
    <x v="0"/>
    <n v="3"/>
    <n v="3"/>
    <x v="9"/>
    <n v="8"/>
    <n v="5"/>
    <n v="13"/>
    <n v="0"/>
    <n v="1"/>
    <n v="0"/>
  </r>
  <r>
    <n v="11"/>
    <d v="2024-03-24T00:00:00"/>
    <x v="0"/>
    <n v="4"/>
    <n v="4"/>
    <x v="28"/>
    <n v="7"/>
    <n v="3"/>
    <n v="10"/>
    <n v="0"/>
    <n v="0"/>
    <n v="0"/>
  </r>
  <r>
    <n v="11"/>
    <d v="2024-03-24T00:00:00"/>
    <x v="0"/>
    <n v="5"/>
    <n v="8"/>
    <x v="34"/>
    <n v="6"/>
    <n v="1"/>
    <n v="7"/>
    <n v="0"/>
    <n v="0"/>
    <n v="-3"/>
  </r>
  <r>
    <n v="11"/>
    <d v="2024-03-24T00:00:00"/>
    <x v="0"/>
    <n v="6"/>
    <n v="6"/>
    <x v="3"/>
    <n v="5"/>
    <n v="0"/>
    <n v="5"/>
    <n v="0"/>
    <n v="0"/>
    <n v="0"/>
  </r>
  <r>
    <n v="11"/>
    <d v="2024-03-24T00:00:00"/>
    <x v="0"/>
    <n v="7"/>
    <n v="7"/>
    <x v="30"/>
    <n v="4"/>
    <n v="0"/>
    <n v="4"/>
    <n v="0"/>
    <n v="0"/>
    <n v="0"/>
  </r>
  <r>
    <n v="11"/>
    <d v="2024-03-24T00:00:00"/>
    <x v="0"/>
    <n v="8"/>
    <n v="11"/>
    <x v="39"/>
    <n v="3"/>
    <n v="0"/>
    <n v="3"/>
    <n v="0"/>
    <n v="0"/>
    <n v="-3"/>
  </r>
  <r>
    <n v="11"/>
    <d v="2024-03-24T00:00:00"/>
    <x v="0"/>
    <n v="9"/>
    <n v="9"/>
    <x v="36"/>
    <n v="2"/>
    <n v="0"/>
    <n v="2"/>
    <n v="0"/>
    <n v="0"/>
    <n v="0"/>
  </r>
  <r>
    <n v="11"/>
    <d v="2024-03-24T00:00:00"/>
    <x v="0"/>
    <n v="10"/>
    <n v="11"/>
    <x v="40"/>
    <n v="1"/>
    <n v="0"/>
    <n v="1"/>
    <n v="0"/>
    <n v="0"/>
    <n v="-1"/>
  </r>
  <r>
    <n v="11"/>
    <d v="2024-03-24T00:00:00"/>
    <x v="1"/>
    <n v="1"/>
    <n v="2"/>
    <x v="32"/>
    <n v="10"/>
    <n v="9"/>
    <n v="19"/>
    <n v="1"/>
    <n v="1"/>
    <n v="-1"/>
  </r>
  <r>
    <n v="11"/>
    <d v="2024-03-24T00:00:00"/>
    <x v="1"/>
    <n v="2"/>
    <n v="1"/>
    <x v="33"/>
    <n v="9"/>
    <n v="7"/>
    <n v="16"/>
    <n v="0"/>
    <n v="1"/>
    <n v="1"/>
  </r>
  <r>
    <n v="11"/>
    <d v="2024-03-24T00:00:00"/>
    <x v="1"/>
    <n v="3"/>
    <n v="3"/>
    <x v="15"/>
    <n v="8"/>
    <n v="5"/>
    <n v="13"/>
    <n v="0"/>
    <n v="1"/>
    <n v="0"/>
  </r>
  <r>
    <n v="11"/>
    <d v="2024-03-24T00:00:00"/>
    <x v="1"/>
    <n v="4"/>
    <n v="4"/>
    <x v="35"/>
    <n v="7"/>
    <n v="3"/>
    <n v="10"/>
    <n v="0"/>
    <n v="0"/>
    <n v="0"/>
  </r>
  <r>
    <n v="11"/>
    <d v="2024-03-24T00:00:00"/>
    <x v="1"/>
    <n v="5"/>
    <n v="5"/>
    <x v="37"/>
    <n v="6"/>
    <n v="1"/>
    <n v="7"/>
    <n v="0"/>
    <n v="0"/>
    <n v="0"/>
  </r>
  <r>
    <n v="11"/>
    <d v="2024-03-24T00:00:00"/>
    <x v="1"/>
    <n v="6"/>
    <n v="11"/>
    <x v="41"/>
    <n v="5"/>
    <n v="0"/>
    <n v="5"/>
    <n v="0"/>
    <n v="0"/>
    <n v="-5"/>
  </r>
  <r>
    <n v="11"/>
    <d v="2024-03-24T00:00:00"/>
    <x v="1"/>
    <n v="7"/>
    <n v="11"/>
    <x v="42"/>
    <n v="4"/>
    <n v="0"/>
    <n v="4"/>
    <n v="0"/>
    <n v="0"/>
    <n v="-4"/>
  </r>
  <r>
    <n v="11"/>
    <d v="2024-03-24T00:00:00"/>
    <x v="1"/>
    <n v="8"/>
    <n v="7"/>
    <x v="25"/>
    <n v="3"/>
    <n v="0"/>
    <n v="3"/>
    <n v="0"/>
    <n v="0"/>
    <n v="1"/>
  </r>
  <r>
    <n v="11"/>
    <d v="2024-03-24T00:00:00"/>
    <x v="1"/>
    <n v="9"/>
    <n v="8"/>
    <x v="26"/>
    <n v="2"/>
    <n v="0"/>
    <n v="2"/>
    <n v="0"/>
    <n v="0"/>
    <n v="1"/>
  </r>
  <r>
    <n v="11"/>
    <d v="2024-03-24T00:00:00"/>
    <x v="1"/>
    <n v="10"/>
    <n v="11"/>
    <x v="43"/>
    <n v="1"/>
    <n v="0"/>
    <n v="1"/>
    <n v="0"/>
    <n v="0"/>
    <n v="-1"/>
  </r>
  <r>
    <n v="12"/>
    <d v="2024-03-31T00:00:00"/>
    <x v="0"/>
    <n v="1"/>
    <n v="1"/>
    <x v="24"/>
    <n v="10"/>
    <n v="9"/>
    <n v="19"/>
    <n v="1"/>
    <n v="1"/>
    <n v="0"/>
  </r>
  <r>
    <n v="12"/>
    <d v="2024-03-31T00:00:00"/>
    <x v="0"/>
    <n v="2"/>
    <n v="2"/>
    <x v="20"/>
    <n v="9"/>
    <n v="7"/>
    <n v="16"/>
    <n v="0"/>
    <n v="1"/>
    <n v="0"/>
  </r>
  <r>
    <n v="12"/>
    <d v="2024-03-31T00:00:00"/>
    <x v="0"/>
    <n v="3"/>
    <n v="3"/>
    <x v="9"/>
    <n v="8"/>
    <n v="5"/>
    <n v="13"/>
    <n v="0"/>
    <n v="1"/>
    <n v="0"/>
  </r>
  <r>
    <n v="12"/>
    <d v="2024-03-31T00:00:00"/>
    <x v="0"/>
    <n v="4"/>
    <n v="4"/>
    <x v="28"/>
    <n v="7"/>
    <n v="3"/>
    <n v="10"/>
    <n v="0"/>
    <n v="0"/>
    <n v="0"/>
  </r>
  <r>
    <n v="12"/>
    <d v="2024-03-31T00:00:00"/>
    <x v="0"/>
    <n v="5"/>
    <n v="5"/>
    <x v="34"/>
    <n v="6"/>
    <n v="1"/>
    <n v="7"/>
    <n v="0"/>
    <n v="0"/>
    <n v="0"/>
  </r>
  <r>
    <n v="12"/>
    <d v="2024-03-31T00:00:00"/>
    <x v="0"/>
    <n v="6"/>
    <n v="6"/>
    <x v="3"/>
    <n v="5"/>
    <n v="0"/>
    <n v="5"/>
    <n v="0"/>
    <n v="0"/>
    <n v="0"/>
  </r>
  <r>
    <n v="12"/>
    <d v="2024-03-31T00:00:00"/>
    <x v="0"/>
    <n v="7"/>
    <n v="7"/>
    <x v="30"/>
    <n v="4"/>
    <n v="0"/>
    <n v="4"/>
    <n v="0"/>
    <n v="0"/>
    <n v="0"/>
  </r>
  <r>
    <n v="12"/>
    <d v="2024-03-31T00:00:00"/>
    <x v="0"/>
    <n v="8"/>
    <n v="8"/>
    <x v="39"/>
    <n v="3"/>
    <n v="0"/>
    <n v="3"/>
    <n v="0"/>
    <n v="0"/>
    <n v="0"/>
  </r>
  <r>
    <n v="12"/>
    <d v="2024-03-31T00:00:00"/>
    <x v="0"/>
    <n v="9"/>
    <n v="10"/>
    <x v="40"/>
    <n v="2"/>
    <n v="0"/>
    <n v="2"/>
    <n v="0"/>
    <n v="0"/>
    <n v="-1"/>
  </r>
  <r>
    <n v="12"/>
    <d v="2024-03-31T00:00:00"/>
    <x v="0"/>
    <n v="10"/>
    <n v="11"/>
    <x v="44"/>
    <n v="1"/>
    <n v="0"/>
    <n v="1"/>
    <n v="0"/>
    <n v="0"/>
    <n v="-1"/>
  </r>
  <r>
    <n v="12"/>
    <d v="2024-03-31T00:00:00"/>
    <x v="1"/>
    <n v="1"/>
    <n v="1"/>
    <x v="32"/>
    <n v="10"/>
    <n v="9"/>
    <n v="19"/>
    <n v="1"/>
    <n v="1"/>
    <n v="0"/>
  </r>
  <r>
    <n v="12"/>
    <d v="2024-03-31T00:00:00"/>
    <x v="1"/>
    <n v="2"/>
    <n v="2"/>
    <x v="33"/>
    <n v="9"/>
    <n v="7"/>
    <n v="16"/>
    <n v="0"/>
    <n v="1"/>
    <n v="0"/>
  </r>
  <r>
    <n v="12"/>
    <d v="2024-03-31T00:00:00"/>
    <x v="1"/>
    <n v="3"/>
    <n v="3"/>
    <x v="15"/>
    <n v="8"/>
    <n v="5"/>
    <n v="13"/>
    <n v="0"/>
    <n v="1"/>
    <n v="0"/>
  </r>
  <r>
    <n v="12"/>
    <d v="2024-03-31T00:00:00"/>
    <x v="1"/>
    <n v="4"/>
    <n v="4"/>
    <x v="35"/>
    <n v="7"/>
    <n v="3"/>
    <n v="10"/>
    <n v="0"/>
    <n v="0"/>
    <n v="0"/>
  </r>
  <r>
    <n v="12"/>
    <d v="2024-03-31T00:00:00"/>
    <x v="1"/>
    <n v="5"/>
    <n v="5"/>
    <x v="37"/>
    <n v="6"/>
    <n v="1"/>
    <n v="7"/>
    <n v="0"/>
    <n v="0"/>
    <n v="0"/>
  </r>
  <r>
    <n v="12"/>
    <d v="2024-03-31T00:00:00"/>
    <x v="1"/>
    <n v="6"/>
    <n v="6"/>
    <x v="41"/>
    <n v="5"/>
    <n v="0"/>
    <n v="5"/>
    <n v="0"/>
    <n v="0"/>
    <n v="0"/>
  </r>
  <r>
    <n v="12"/>
    <d v="2024-03-31T00:00:00"/>
    <x v="1"/>
    <n v="7"/>
    <n v="7"/>
    <x v="42"/>
    <n v="4"/>
    <n v="0"/>
    <n v="4"/>
    <n v="0"/>
    <n v="0"/>
    <n v="0"/>
  </r>
  <r>
    <n v="12"/>
    <d v="2024-03-31T00:00:00"/>
    <x v="1"/>
    <n v="8"/>
    <n v="8"/>
    <x v="25"/>
    <n v="3"/>
    <n v="0"/>
    <n v="3"/>
    <n v="0"/>
    <n v="0"/>
    <n v="0"/>
  </r>
  <r>
    <n v="12"/>
    <d v="2024-03-31T00:00:00"/>
    <x v="1"/>
    <n v="9"/>
    <n v="10"/>
    <x v="43"/>
    <n v="2"/>
    <n v="0"/>
    <n v="2"/>
    <n v="0"/>
    <n v="0"/>
    <n v="-1"/>
  </r>
  <r>
    <n v="12"/>
    <d v="2024-03-31T00:00:00"/>
    <x v="1"/>
    <n v="10"/>
    <n v="9"/>
    <x v="26"/>
    <n v="1"/>
    <n v="0"/>
    <n v="1"/>
    <n v="0"/>
    <n v="0"/>
    <n v="1"/>
  </r>
  <r>
    <n v="13"/>
    <d v="2024-04-07T00:00:00"/>
    <x v="0"/>
    <n v="1"/>
    <n v="1"/>
    <x v="24"/>
    <n v="10"/>
    <n v="9"/>
    <n v="19"/>
    <n v="1"/>
    <n v="1"/>
    <n v="0"/>
  </r>
  <r>
    <n v="13"/>
    <d v="2024-04-07T00:00:00"/>
    <x v="0"/>
    <n v="2"/>
    <n v="2"/>
    <x v="20"/>
    <n v="9"/>
    <n v="7"/>
    <n v="16"/>
    <n v="0"/>
    <n v="1"/>
    <n v="0"/>
  </r>
  <r>
    <n v="13"/>
    <d v="2024-04-07T00:00:00"/>
    <x v="0"/>
    <n v="3"/>
    <n v="11"/>
    <x v="8"/>
    <n v="8"/>
    <n v="5"/>
    <n v="13"/>
    <n v="0"/>
    <n v="1"/>
    <n v="-8"/>
  </r>
  <r>
    <n v="13"/>
    <d v="2024-04-07T00:00:00"/>
    <x v="0"/>
    <n v="4"/>
    <n v="4"/>
    <x v="28"/>
    <n v="7"/>
    <n v="3"/>
    <n v="10"/>
    <n v="0"/>
    <n v="0"/>
    <n v="0"/>
  </r>
  <r>
    <n v="13"/>
    <d v="2024-04-07T00:00:00"/>
    <x v="0"/>
    <n v="5"/>
    <n v="5"/>
    <x v="34"/>
    <n v="6"/>
    <n v="1"/>
    <n v="7"/>
    <n v="0"/>
    <n v="0"/>
    <n v="0"/>
  </r>
  <r>
    <n v="13"/>
    <d v="2024-04-07T00:00:00"/>
    <x v="0"/>
    <n v="6"/>
    <n v="6"/>
    <x v="3"/>
    <n v="5"/>
    <n v="0"/>
    <n v="5"/>
    <n v="0"/>
    <n v="0"/>
    <n v="0"/>
  </r>
  <r>
    <n v="13"/>
    <d v="2024-04-07T00:00:00"/>
    <x v="0"/>
    <n v="7"/>
    <n v="7"/>
    <x v="30"/>
    <n v="4"/>
    <n v="0"/>
    <n v="4"/>
    <n v="0"/>
    <n v="0"/>
    <n v="0"/>
  </r>
  <r>
    <n v="13"/>
    <d v="2024-04-07T00:00:00"/>
    <x v="0"/>
    <n v="8"/>
    <n v="8"/>
    <x v="39"/>
    <n v="3"/>
    <n v="0"/>
    <n v="3"/>
    <n v="0"/>
    <n v="0"/>
    <n v="0"/>
  </r>
  <r>
    <n v="13"/>
    <d v="2024-04-07T00:00:00"/>
    <x v="0"/>
    <n v="9"/>
    <n v="9"/>
    <x v="40"/>
    <n v="2"/>
    <n v="0"/>
    <n v="2"/>
    <n v="0"/>
    <n v="0"/>
    <n v="0"/>
  </r>
  <r>
    <n v="13"/>
    <d v="2024-04-07T00:00:00"/>
    <x v="0"/>
    <n v="10"/>
    <n v="11"/>
    <x v="45"/>
    <n v="1"/>
    <n v="0"/>
    <n v="1"/>
    <n v="0"/>
    <n v="0"/>
    <n v="-1"/>
  </r>
  <r>
    <n v="13"/>
    <d v="2024-04-07T00:00:00"/>
    <x v="1"/>
    <n v="1"/>
    <n v="1"/>
    <x v="32"/>
    <n v="10"/>
    <n v="9"/>
    <n v="19"/>
    <n v="1"/>
    <n v="1"/>
    <n v="0"/>
  </r>
  <r>
    <n v="13"/>
    <d v="2024-04-07T00:00:00"/>
    <x v="1"/>
    <n v="2"/>
    <n v="2"/>
    <x v="33"/>
    <n v="9"/>
    <n v="7"/>
    <n v="16"/>
    <n v="0"/>
    <n v="1"/>
    <n v="0"/>
  </r>
  <r>
    <n v="13"/>
    <d v="2024-04-07T00:00:00"/>
    <x v="1"/>
    <n v="3"/>
    <n v="3"/>
    <x v="15"/>
    <n v="8"/>
    <n v="5"/>
    <n v="13"/>
    <n v="0"/>
    <n v="1"/>
    <n v="0"/>
  </r>
  <r>
    <n v="13"/>
    <d v="2024-04-07T00:00:00"/>
    <x v="1"/>
    <n v="4"/>
    <n v="11"/>
    <x v="46"/>
    <n v="7"/>
    <n v="3"/>
    <n v="10"/>
    <n v="0"/>
    <n v="0"/>
    <n v="-7"/>
  </r>
  <r>
    <n v="13"/>
    <d v="2024-04-07T00:00:00"/>
    <x v="1"/>
    <n v="5"/>
    <n v="6"/>
    <x v="41"/>
    <n v="6"/>
    <n v="1"/>
    <n v="7"/>
    <n v="0"/>
    <n v="0"/>
    <n v="-1"/>
  </r>
  <r>
    <n v="13"/>
    <d v="2024-04-07T00:00:00"/>
    <x v="1"/>
    <n v="6"/>
    <n v="4"/>
    <x v="35"/>
    <n v="5"/>
    <n v="0"/>
    <n v="5"/>
    <n v="0"/>
    <n v="0"/>
    <n v="2"/>
  </r>
  <r>
    <n v="13"/>
    <d v="2024-04-07T00:00:00"/>
    <x v="1"/>
    <n v="7"/>
    <n v="7"/>
    <x v="42"/>
    <n v="4"/>
    <n v="0"/>
    <n v="4"/>
    <n v="0"/>
    <n v="0"/>
    <n v="0"/>
  </r>
  <r>
    <n v="13"/>
    <d v="2024-04-07T00:00:00"/>
    <x v="1"/>
    <n v="8"/>
    <n v="11"/>
    <x v="47"/>
    <n v="3"/>
    <n v="0"/>
    <n v="3"/>
    <n v="0"/>
    <n v="0"/>
    <n v="-3"/>
  </r>
  <r>
    <n v="13"/>
    <d v="2024-04-07T00:00:00"/>
    <x v="1"/>
    <n v="9"/>
    <n v="8"/>
    <x v="25"/>
    <n v="2"/>
    <n v="0"/>
    <n v="2"/>
    <n v="0"/>
    <n v="0"/>
    <n v="1"/>
  </r>
  <r>
    <n v="13"/>
    <d v="2024-04-07T00:00:00"/>
    <x v="1"/>
    <n v="10"/>
    <n v="11"/>
    <x v="48"/>
    <n v="1"/>
    <n v="0"/>
    <n v="1"/>
    <n v="0"/>
    <n v="0"/>
    <n v="-1"/>
  </r>
  <r>
    <n v="14"/>
    <d v="2024-04-14T00:00:00"/>
    <x v="0"/>
    <n v="1"/>
    <n v="1"/>
    <x v="24"/>
    <n v="10"/>
    <n v="9"/>
    <n v="19"/>
    <n v="1"/>
    <n v="1"/>
    <n v="0"/>
  </r>
  <r>
    <n v="14"/>
    <d v="2024-04-14T00:00:00"/>
    <x v="0"/>
    <n v="2"/>
    <n v="2"/>
    <x v="20"/>
    <n v="9"/>
    <n v="7"/>
    <n v="16"/>
    <n v="0"/>
    <n v="1"/>
    <n v="0"/>
  </r>
  <r>
    <n v="14"/>
    <d v="2024-04-14T00:00:00"/>
    <x v="0"/>
    <n v="3"/>
    <n v="3"/>
    <x v="8"/>
    <n v="8"/>
    <n v="5"/>
    <n v="13"/>
    <n v="0"/>
    <n v="1"/>
    <n v="0"/>
  </r>
  <r>
    <n v="14"/>
    <d v="2024-04-14T00:00:00"/>
    <x v="0"/>
    <n v="4"/>
    <n v="4"/>
    <x v="28"/>
    <n v="7"/>
    <n v="3"/>
    <n v="10"/>
    <n v="0"/>
    <n v="0"/>
    <n v="0"/>
  </r>
  <r>
    <n v="14"/>
    <d v="2024-04-14T00:00:00"/>
    <x v="0"/>
    <n v="5"/>
    <n v="11"/>
    <x v="49"/>
    <n v="6"/>
    <n v="1"/>
    <n v="7"/>
    <n v="0"/>
    <n v="0"/>
    <n v="-6"/>
  </r>
  <r>
    <n v="14"/>
    <d v="2024-04-14T00:00:00"/>
    <x v="0"/>
    <n v="6"/>
    <n v="10"/>
    <x v="45"/>
    <n v="5"/>
    <n v="0"/>
    <n v="5"/>
    <n v="0"/>
    <n v="0"/>
    <n v="-4"/>
  </r>
  <r>
    <n v="14"/>
    <d v="2024-04-14T00:00:00"/>
    <x v="0"/>
    <n v="7"/>
    <n v="6"/>
    <x v="3"/>
    <n v="4"/>
    <n v="0"/>
    <n v="4"/>
    <n v="0"/>
    <n v="0"/>
    <n v="1"/>
  </r>
  <r>
    <n v="14"/>
    <d v="2024-04-14T00:00:00"/>
    <x v="0"/>
    <n v="8"/>
    <n v="8"/>
    <x v="39"/>
    <n v="3"/>
    <n v="0"/>
    <n v="3"/>
    <n v="0"/>
    <n v="0"/>
    <n v="0"/>
  </r>
  <r>
    <n v="14"/>
    <d v="2024-04-14T00:00:00"/>
    <x v="0"/>
    <n v="9"/>
    <n v="9"/>
    <x v="40"/>
    <n v="2"/>
    <n v="0"/>
    <n v="2"/>
    <n v="0"/>
    <n v="0"/>
    <n v="0"/>
  </r>
  <r>
    <n v="14"/>
    <d v="2024-04-14T00:00:00"/>
    <x v="0"/>
    <n v="10"/>
    <n v="7"/>
    <x v="30"/>
    <n v="1"/>
    <n v="0"/>
    <n v="1"/>
    <n v="0"/>
    <n v="0"/>
    <n v="3"/>
  </r>
  <r>
    <n v="14"/>
    <d v="2024-04-14T00:00:00"/>
    <x v="1"/>
    <n v="1"/>
    <n v="1"/>
    <x v="32"/>
    <n v="10"/>
    <n v="9"/>
    <n v="19"/>
    <n v="1"/>
    <n v="1"/>
    <n v="0"/>
  </r>
  <r>
    <n v="14"/>
    <d v="2024-04-14T00:00:00"/>
    <x v="1"/>
    <n v="2"/>
    <n v="11"/>
    <x v="50"/>
    <n v="9"/>
    <n v="7"/>
    <n v="16"/>
    <n v="0"/>
    <n v="1"/>
    <n v="-9"/>
  </r>
  <r>
    <n v="14"/>
    <d v="2024-04-14T00:00:00"/>
    <x v="1"/>
    <n v="3"/>
    <n v="2"/>
    <x v="33"/>
    <n v="8"/>
    <n v="5"/>
    <n v="13"/>
    <n v="0"/>
    <n v="1"/>
    <n v="1"/>
  </r>
  <r>
    <n v="14"/>
    <d v="2024-04-14T00:00:00"/>
    <x v="1"/>
    <n v="4"/>
    <n v="3"/>
    <x v="15"/>
    <n v="7"/>
    <n v="3"/>
    <n v="10"/>
    <n v="0"/>
    <n v="0"/>
    <n v="1"/>
  </r>
  <r>
    <n v="14"/>
    <d v="2024-04-14T00:00:00"/>
    <x v="1"/>
    <n v="5"/>
    <n v="5"/>
    <x v="41"/>
    <n v="6"/>
    <n v="1"/>
    <n v="7"/>
    <n v="0"/>
    <n v="0"/>
    <n v="0"/>
  </r>
  <r>
    <n v="14"/>
    <d v="2024-04-14T00:00:00"/>
    <x v="1"/>
    <n v="6"/>
    <n v="9"/>
    <x v="43"/>
    <n v="5"/>
    <n v="0"/>
    <n v="5"/>
    <n v="0"/>
    <n v="0"/>
    <n v="-3"/>
  </r>
  <r>
    <n v="14"/>
    <d v="2024-04-14T00:00:00"/>
    <x v="1"/>
    <n v="7"/>
    <n v="7"/>
    <x v="42"/>
    <n v="4"/>
    <n v="0"/>
    <n v="4"/>
    <n v="0"/>
    <n v="0"/>
    <n v="0"/>
  </r>
  <r>
    <n v="14"/>
    <d v="2024-04-14T00:00:00"/>
    <x v="1"/>
    <n v="8"/>
    <n v="8"/>
    <x v="47"/>
    <n v="3"/>
    <n v="0"/>
    <n v="3"/>
    <n v="0"/>
    <n v="0"/>
    <n v="0"/>
  </r>
  <r>
    <n v="14"/>
    <d v="2024-04-14T00:00:00"/>
    <x v="1"/>
    <n v="9"/>
    <n v="6"/>
    <x v="35"/>
    <n v="2"/>
    <n v="0"/>
    <n v="2"/>
    <n v="0"/>
    <n v="0"/>
    <n v="3"/>
  </r>
  <r>
    <n v="14"/>
    <d v="2024-04-14T00:00:00"/>
    <x v="1"/>
    <n v="10"/>
    <n v="9"/>
    <x v="25"/>
    <n v="1"/>
    <n v="0"/>
    <n v="1"/>
    <n v="0"/>
    <n v="0"/>
    <n v="1"/>
  </r>
  <r>
    <n v="15"/>
    <d v="2024-04-21T00:00:00"/>
    <x v="0"/>
    <n v="1"/>
    <n v="3"/>
    <x v="8"/>
    <n v="10"/>
    <n v="9"/>
    <n v="19"/>
    <n v="1"/>
    <n v="1"/>
    <n v="-2"/>
  </r>
  <r>
    <n v="15"/>
    <d v="2024-04-21T00:00:00"/>
    <x v="0"/>
    <n v="2"/>
    <n v="1"/>
    <x v="24"/>
    <n v="9"/>
    <n v="7"/>
    <n v="16"/>
    <n v="0"/>
    <n v="1"/>
    <n v="1"/>
  </r>
  <r>
    <n v="15"/>
    <d v="2024-04-21T00:00:00"/>
    <x v="0"/>
    <n v="3"/>
    <n v="2"/>
    <x v="20"/>
    <n v="8"/>
    <n v="5"/>
    <n v="13"/>
    <n v="0"/>
    <n v="1"/>
    <n v="1"/>
  </r>
  <r>
    <n v="15"/>
    <d v="2024-04-21T00:00:00"/>
    <x v="0"/>
    <n v="4"/>
    <n v="6"/>
    <x v="45"/>
    <n v="7"/>
    <n v="3"/>
    <n v="10"/>
    <n v="0"/>
    <n v="0"/>
    <n v="-2"/>
  </r>
  <r>
    <n v="15"/>
    <d v="2024-04-21T00:00:00"/>
    <x v="0"/>
    <n v="5"/>
    <n v="5"/>
    <x v="49"/>
    <n v="6"/>
    <n v="1"/>
    <n v="7"/>
    <n v="0"/>
    <n v="0"/>
    <n v="0"/>
  </r>
  <r>
    <n v="15"/>
    <d v="2024-04-21T00:00:00"/>
    <x v="0"/>
    <n v="6"/>
    <n v="10"/>
    <x v="44"/>
    <n v="5"/>
    <n v="0"/>
    <n v="5"/>
    <n v="0"/>
    <n v="0"/>
    <n v="-4"/>
  </r>
  <r>
    <n v="15"/>
    <d v="2024-04-21T00:00:00"/>
    <x v="0"/>
    <n v="7"/>
    <n v="7"/>
    <x v="3"/>
    <n v="4"/>
    <n v="0"/>
    <n v="4"/>
    <n v="0"/>
    <n v="0"/>
    <n v="0"/>
  </r>
  <r>
    <n v="15"/>
    <d v="2024-04-21T00:00:00"/>
    <x v="0"/>
    <n v="8"/>
    <n v="8"/>
    <x v="39"/>
    <n v="3"/>
    <n v="0"/>
    <n v="3"/>
    <n v="0"/>
    <n v="0"/>
    <n v="0"/>
  </r>
  <r>
    <n v="15"/>
    <d v="2024-04-21T00:00:00"/>
    <x v="0"/>
    <n v="9"/>
    <n v="9"/>
    <x v="40"/>
    <n v="2"/>
    <n v="0"/>
    <n v="2"/>
    <n v="0"/>
    <n v="0"/>
    <n v="0"/>
  </r>
  <r>
    <n v="15"/>
    <d v="2024-04-21T00:00:00"/>
    <x v="0"/>
    <n v="10"/>
    <n v="11"/>
    <x v="51"/>
    <n v="1"/>
    <n v="0"/>
    <n v="1"/>
    <n v="0"/>
    <n v="0"/>
    <n v="-1"/>
  </r>
  <r>
    <n v="15"/>
    <d v="2024-04-21T00:00:00"/>
    <x v="1"/>
    <n v="1"/>
    <n v="8"/>
    <x v="47"/>
    <n v="10"/>
    <n v="9"/>
    <n v="19"/>
    <n v="1"/>
    <n v="1"/>
    <n v="-7"/>
  </r>
  <r>
    <n v="15"/>
    <d v="2024-04-21T00:00:00"/>
    <x v="1"/>
    <n v="2"/>
    <n v="2"/>
    <x v="50"/>
    <n v="9"/>
    <n v="7"/>
    <n v="16"/>
    <n v="0"/>
    <n v="1"/>
    <n v="0"/>
  </r>
  <r>
    <n v="15"/>
    <d v="2024-04-21T00:00:00"/>
    <x v="1"/>
    <n v="3"/>
    <n v="1"/>
    <x v="32"/>
    <n v="8"/>
    <n v="5"/>
    <n v="13"/>
    <n v="0"/>
    <n v="1"/>
    <n v="2"/>
  </r>
  <r>
    <n v="15"/>
    <d v="2024-04-21T00:00:00"/>
    <x v="1"/>
    <n v="4"/>
    <n v="3"/>
    <x v="33"/>
    <n v="7"/>
    <n v="3"/>
    <n v="10"/>
    <n v="0"/>
    <n v="0"/>
    <n v="1"/>
  </r>
  <r>
    <n v="15"/>
    <d v="2024-04-21T00:00:00"/>
    <x v="1"/>
    <n v="5"/>
    <n v="4"/>
    <x v="15"/>
    <n v="6"/>
    <n v="1"/>
    <n v="7"/>
    <n v="0"/>
    <n v="0"/>
    <n v="1"/>
  </r>
  <r>
    <n v="15"/>
    <d v="2024-04-21T00:00:00"/>
    <x v="1"/>
    <n v="6"/>
    <n v="6"/>
    <x v="43"/>
    <n v="5"/>
    <n v="0"/>
    <n v="5"/>
    <n v="0"/>
    <n v="0"/>
    <n v="0"/>
  </r>
  <r>
    <n v="15"/>
    <d v="2024-04-21T00:00:00"/>
    <x v="1"/>
    <n v="7"/>
    <n v="10"/>
    <x v="48"/>
    <n v="4"/>
    <n v="0"/>
    <n v="4"/>
    <n v="0"/>
    <n v="0"/>
    <n v="-3"/>
  </r>
  <r>
    <n v="15"/>
    <d v="2024-04-21T00:00:00"/>
    <x v="1"/>
    <n v="8"/>
    <n v="7"/>
    <x v="42"/>
    <n v="3"/>
    <n v="0"/>
    <n v="3"/>
    <n v="0"/>
    <n v="0"/>
    <n v="1"/>
  </r>
  <r>
    <n v="15"/>
    <d v="2024-04-21T00:00:00"/>
    <x v="1"/>
    <n v="9"/>
    <n v="9"/>
    <x v="35"/>
    <n v="2"/>
    <n v="0"/>
    <n v="2"/>
    <n v="0"/>
    <n v="0"/>
    <n v="0"/>
  </r>
  <r>
    <n v="15"/>
    <d v="2024-04-21T00:00:00"/>
    <x v="1"/>
    <n v="10"/>
    <n v="11"/>
    <x v="52"/>
    <n v="1"/>
    <n v="0"/>
    <n v="1"/>
    <n v="0"/>
    <n v="0"/>
    <n v="-1"/>
  </r>
  <r>
    <n v="16"/>
    <d v="2024-04-28T00:00:00"/>
    <x v="0"/>
    <n v="1"/>
    <n v="1"/>
    <x v="8"/>
    <n v="10"/>
    <n v="9"/>
    <n v="19"/>
    <n v="1"/>
    <n v="1"/>
    <n v="0"/>
  </r>
  <r>
    <n v="16"/>
    <d v="2024-04-28T00:00:00"/>
    <x v="0"/>
    <n v="2"/>
    <n v="2"/>
    <x v="24"/>
    <n v="9"/>
    <n v="7"/>
    <n v="16"/>
    <n v="0"/>
    <n v="1"/>
    <n v="0"/>
  </r>
  <r>
    <n v="16"/>
    <d v="2024-04-28T00:00:00"/>
    <x v="0"/>
    <n v="3"/>
    <n v="4"/>
    <x v="45"/>
    <n v="8"/>
    <n v="5"/>
    <n v="13"/>
    <n v="0"/>
    <n v="1"/>
    <n v="-1"/>
  </r>
  <r>
    <n v="16"/>
    <d v="2024-04-28T00:00:00"/>
    <x v="0"/>
    <n v="4"/>
    <n v="5"/>
    <x v="49"/>
    <n v="7"/>
    <n v="3"/>
    <n v="10"/>
    <n v="0"/>
    <n v="0"/>
    <n v="-1"/>
  </r>
  <r>
    <n v="16"/>
    <d v="2024-04-28T00:00:00"/>
    <x v="0"/>
    <n v="5"/>
    <n v="3"/>
    <x v="20"/>
    <n v="6"/>
    <n v="1"/>
    <n v="7"/>
    <n v="0"/>
    <n v="0"/>
    <n v="2"/>
  </r>
  <r>
    <n v="16"/>
    <d v="2024-04-28T00:00:00"/>
    <x v="0"/>
    <n v="6"/>
    <n v="6"/>
    <x v="44"/>
    <n v="5"/>
    <n v="0"/>
    <n v="5"/>
    <n v="0"/>
    <n v="0"/>
    <n v="0"/>
  </r>
  <r>
    <n v="16"/>
    <d v="2024-04-28T00:00:00"/>
    <x v="0"/>
    <n v="7"/>
    <n v="7"/>
    <x v="3"/>
    <n v="4"/>
    <n v="0"/>
    <n v="4"/>
    <n v="0"/>
    <n v="0"/>
    <n v="0"/>
  </r>
  <r>
    <n v="16"/>
    <d v="2024-04-28T00:00:00"/>
    <x v="0"/>
    <n v="8"/>
    <n v="8"/>
    <x v="39"/>
    <n v="3"/>
    <n v="0"/>
    <n v="3"/>
    <n v="0"/>
    <n v="0"/>
    <n v="0"/>
  </r>
  <r>
    <n v="16"/>
    <d v="2024-04-28T00:00:00"/>
    <x v="0"/>
    <n v="9"/>
    <n v="9"/>
    <x v="40"/>
    <n v="2"/>
    <n v="0"/>
    <n v="2"/>
    <n v="0"/>
    <n v="0"/>
    <n v="0"/>
  </r>
  <r>
    <n v="16"/>
    <d v="2024-04-28T00:00:00"/>
    <x v="0"/>
    <n v="10"/>
    <n v="10"/>
    <x v="51"/>
    <n v="1"/>
    <n v="0"/>
    <n v="1"/>
    <n v="0"/>
    <n v="0"/>
    <n v="0"/>
  </r>
  <r>
    <n v="16"/>
    <d v="2024-04-28T00:00:00"/>
    <x v="1"/>
    <n v="1"/>
    <n v="1"/>
    <x v="47"/>
    <n v="10"/>
    <n v="9"/>
    <n v="19"/>
    <n v="1"/>
    <n v="1"/>
    <n v="0"/>
  </r>
  <r>
    <n v="16"/>
    <d v="2024-04-28T00:00:00"/>
    <x v="1"/>
    <n v="2"/>
    <n v="2"/>
    <x v="50"/>
    <n v="9"/>
    <n v="7"/>
    <n v="16"/>
    <n v="0"/>
    <n v="1"/>
    <n v="0"/>
  </r>
  <r>
    <n v="16"/>
    <d v="2024-04-28T00:00:00"/>
    <x v="1"/>
    <n v="3"/>
    <n v="4"/>
    <x v="33"/>
    <n v="8"/>
    <n v="5"/>
    <n v="13"/>
    <n v="0"/>
    <n v="1"/>
    <n v="-1"/>
  </r>
  <r>
    <n v="16"/>
    <d v="2024-04-28T00:00:00"/>
    <x v="1"/>
    <n v="4"/>
    <n v="3"/>
    <x v="32"/>
    <n v="7"/>
    <n v="3"/>
    <n v="10"/>
    <n v="0"/>
    <n v="0"/>
    <n v="1"/>
  </r>
  <r>
    <n v="16"/>
    <d v="2024-04-28T00:00:00"/>
    <x v="1"/>
    <n v="5"/>
    <n v="5"/>
    <x v="15"/>
    <n v="6"/>
    <n v="1"/>
    <n v="7"/>
    <n v="0"/>
    <n v="0"/>
    <n v="0"/>
  </r>
  <r>
    <n v="16"/>
    <d v="2024-04-28T00:00:00"/>
    <x v="1"/>
    <n v="6"/>
    <n v="6"/>
    <x v="43"/>
    <n v="5"/>
    <n v="0"/>
    <n v="5"/>
    <n v="0"/>
    <n v="0"/>
    <n v="0"/>
  </r>
  <r>
    <n v="16"/>
    <d v="2024-04-28T00:00:00"/>
    <x v="1"/>
    <n v="7"/>
    <n v="7"/>
    <x v="48"/>
    <n v="4"/>
    <n v="0"/>
    <n v="4"/>
    <n v="0"/>
    <n v="0"/>
    <n v="0"/>
  </r>
  <r>
    <n v="16"/>
    <d v="2024-04-28T00:00:00"/>
    <x v="1"/>
    <n v="8"/>
    <n v="10"/>
    <x v="52"/>
    <n v="3"/>
    <n v="0"/>
    <n v="3"/>
    <n v="0"/>
    <n v="0"/>
    <n v="-2"/>
  </r>
  <r>
    <n v="16"/>
    <d v="2024-04-28T00:00:00"/>
    <x v="1"/>
    <n v="9"/>
    <n v="8"/>
    <x v="42"/>
    <n v="2"/>
    <n v="0"/>
    <n v="2"/>
    <n v="0"/>
    <n v="0"/>
    <n v="1"/>
  </r>
  <r>
    <n v="16"/>
    <d v="2024-04-28T00:00:00"/>
    <x v="1"/>
    <n v="10"/>
    <n v="9"/>
    <x v="35"/>
    <n v="1"/>
    <n v="0"/>
    <n v="1"/>
    <n v="0"/>
    <n v="0"/>
    <n v="1"/>
  </r>
  <r>
    <n v="17"/>
    <d v="2024-05-05T00:00:00"/>
    <x v="0"/>
    <n v="1"/>
    <n v="1"/>
    <x v="8"/>
    <n v="10"/>
    <n v="9"/>
    <n v="19"/>
    <n v="1"/>
    <n v="1"/>
    <n v="0"/>
  </r>
  <r>
    <n v="17"/>
    <d v="2024-05-05T00:00:00"/>
    <x v="0"/>
    <n v="2"/>
    <n v="3"/>
    <x v="45"/>
    <n v="9"/>
    <n v="7"/>
    <n v="16"/>
    <n v="0"/>
    <n v="1"/>
    <n v="-1"/>
  </r>
  <r>
    <n v="17"/>
    <d v="2024-05-05T00:00:00"/>
    <x v="0"/>
    <n v="3"/>
    <n v="2"/>
    <x v="24"/>
    <n v="8"/>
    <n v="5"/>
    <n v="13"/>
    <n v="0"/>
    <n v="1"/>
    <n v="1"/>
  </r>
  <r>
    <n v="17"/>
    <d v="2024-05-05T00:00:00"/>
    <x v="0"/>
    <n v="4"/>
    <n v="4"/>
    <x v="49"/>
    <n v="7"/>
    <n v="3"/>
    <n v="10"/>
    <n v="0"/>
    <n v="0"/>
    <n v="0"/>
  </r>
  <r>
    <n v="17"/>
    <d v="2024-05-05T00:00:00"/>
    <x v="0"/>
    <n v="5"/>
    <n v="5"/>
    <x v="20"/>
    <n v="6"/>
    <n v="1"/>
    <n v="7"/>
    <n v="0"/>
    <n v="0"/>
    <n v="0"/>
  </r>
  <r>
    <n v="17"/>
    <d v="2024-05-05T00:00:00"/>
    <x v="0"/>
    <n v="6"/>
    <n v="6"/>
    <x v="44"/>
    <n v="5"/>
    <n v="0"/>
    <n v="5"/>
    <n v="0"/>
    <n v="0"/>
    <n v="0"/>
  </r>
  <r>
    <n v="17"/>
    <d v="2024-05-05T00:00:00"/>
    <x v="0"/>
    <n v="7"/>
    <n v="7"/>
    <x v="3"/>
    <n v="4"/>
    <n v="0"/>
    <n v="4"/>
    <n v="0"/>
    <n v="0"/>
    <n v="0"/>
  </r>
  <r>
    <n v="17"/>
    <d v="2024-05-05T00:00:00"/>
    <x v="0"/>
    <n v="8"/>
    <n v="8"/>
    <x v="39"/>
    <n v="3"/>
    <n v="0"/>
    <n v="3"/>
    <n v="0"/>
    <n v="0"/>
    <n v="0"/>
  </r>
  <r>
    <n v="17"/>
    <d v="2024-05-05T00:00:00"/>
    <x v="0"/>
    <n v="9"/>
    <n v="10"/>
    <x v="51"/>
    <n v="2"/>
    <n v="0"/>
    <n v="2"/>
    <n v="0"/>
    <n v="0"/>
    <n v="-1"/>
  </r>
  <r>
    <n v="17"/>
    <d v="2024-05-05T00:00:00"/>
    <x v="0"/>
    <n v="10"/>
    <n v="11"/>
    <x v="53"/>
    <n v="1"/>
    <n v="0"/>
    <n v="1"/>
    <n v="0"/>
    <n v="0"/>
    <n v="-1"/>
  </r>
  <r>
    <n v="17"/>
    <d v="2024-05-05T00:00:00"/>
    <x v="1"/>
    <n v="1"/>
    <n v="11"/>
    <x v="54"/>
    <n v="10"/>
    <n v="9"/>
    <n v="19"/>
    <n v="1"/>
    <n v="1"/>
    <n v="-10"/>
  </r>
  <r>
    <n v="17"/>
    <d v="2024-05-05T00:00:00"/>
    <x v="1"/>
    <n v="2"/>
    <n v="1"/>
    <x v="47"/>
    <n v="9"/>
    <n v="7"/>
    <n v="16"/>
    <n v="0"/>
    <n v="1"/>
    <n v="1"/>
  </r>
  <r>
    <n v="17"/>
    <d v="2024-05-05T00:00:00"/>
    <x v="1"/>
    <n v="3"/>
    <n v="2"/>
    <x v="50"/>
    <n v="8"/>
    <n v="5"/>
    <n v="13"/>
    <n v="0"/>
    <n v="1"/>
    <n v="1"/>
  </r>
  <r>
    <n v="17"/>
    <d v="2024-05-05T00:00:00"/>
    <x v="1"/>
    <n v="4"/>
    <n v="11"/>
    <x v="55"/>
    <n v="7"/>
    <n v="3"/>
    <n v="10"/>
    <n v="0"/>
    <n v="0"/>
    <n v="-7"/>
  </r>
  <r>
    <n v="17"/>
    <d v="2024-05-05T00:00:00"/>
    <x v="1"/>
    <n v="5"/>
    <n v="3"/>
    <x v="33"/>
    <n v="6"/>
    <n v="1"/>
    <n v="7"/>
    <n v="0"/>
    <n v="0"/>
    <n v="2"/>
  </r>
  <r>
    <n v="17"/>
    <d v="2024-05-05T00:00:00"/>
    <x v="1"/>
    <n v="6"/>
    <n v="6"/>
    <x v="43"/>
    <n v="5"/>
    <n v="0"/>
    <n v="5"/>
    <n v="0"/>
    <n v="0"/>
    <n v="0"/>
  </r>
  <r>
    <n v="17"/>
    <d v="2024-05-05T00:00:00"/>
    <x v="1"/>
    <n v="7"/>
    <n v="5"/>
    <x v="15"/>
    <n v="4"/>
    <n v="0"/>
    <n v="4"/>
    <n v="0"/>
    <n v="0"/>
    <n v="2"/>
  </r>
  <r>
    <n v="17"/>
    <d v="2024-05-05T00:00:00"/>
    <x v="1"/>
    <n v="8"/>
    <n v="7"/>
    <x v="48"/>
    <n v="3"/>
    <n v="0"/>
    <n v="3"/>
    <n v="0"/>
    <n v="0"/>
    <n v="1"/>
  </r>
  <r>
    <n v="17"/>
    <d v="2024-05-05T00:00:00"/>
    <x v="1"/>
    <n v="9"/>
    <n v="8"/>
    <x v="52"/>
    <n v="2"/>
    <n v="0"/>
    <n v="2"/>
    <n v="0"/>
    <n v="0"/>
    <n v="1"/>
  </r>
  <r>
    <n v="17"/>
    <d v="2024-05-05T00:00:00"/>
    <x v="1"/>
    <n v="10"/>
    <n v="11"/>
    <x v="56"/>
    <n v="1"/>
    <n v="0"/>
    <n v="1"/>
    <n v="0"/>
    <n v="0"/>
    <n v="-1"/>
  </r>
  <r>
    <n v="18"/>
    <d v="2024-05-12T00:00:00"/>
    <x v="0"/>
    <n v="1"/>
    <n v="1"/>
    <x v="8"/>
    <n v="10"/>
    <n v="9"/>
    <n v="19"/>
    <n v="1"/>
    <n v="1"/>
    <n v="0"/>
  </r>
  <r>
    <n v="18"/>
    <d v="2024-05-12T00:00:00"/>
    <x v="0"/>
    <n v="2"/>
    <n v="2"/>
    <x v="45"/>
    <n v="9"/>
    <n v="7"/>
    <n v="16"/>
    <n v="0"/>
    <n v="1"/>
    <n v="0"/>
  </r>
  <r>
    <n v="18"/>
    <d v="2024-05-12T00:00:00"/>
    <x v="0"/>
    <n v="3"/>
    <n v="4"/>
    <x v="49"/>
    <n v="8"/>
    <n v="5"/>
    <n v="13"/>
    <n v="0"/>
    <n v="1"/>
    <n v="-1"/>
  </r>
  <r>
    <n v="18"/>
    <d v="2024-05-12T00:00:00"/>
    <x v="0"/>
    <n v="4"/>
    <n v="3"/>
    <x v="24"/>
    <n v="7"/>
    <n v="3"/>
    <n v="10"/>
    <n v="0"/>
    <n v="0"/>
    <n v="1"/>
  </r>
  <r>
    <n v="18"/>
    <d v="2024-05-12T00:00:00"/>
    <x v="0"/>
    <n v="5"/>
    <n v="6"/>
    <x v="44"/>
    <n v="6"/>
    <n v="1"/>
    <n v="7"/>
    <n v="0"/>
    <n v="0"/>
    <n v="-1"/>
  </r>
  <r>
    <n v="18"/>
    <d v="2024-05-12T00:00:00"/>
    <x v="0"/>
    <n v="6"/>
    <n v="9"/>
    <x v="51"/>
    <n v="5"/>
    <n v="0"/>
    <n v="5"/>
    <n v="0"/>
    <n v="0"/>
    <n v="-3"/>
  </r>
  <r>
    <n v="18"/>
    <d v="2024-05-12T00:00:00"/>
    <x v="0"/>
    <n v="7"/>
    <n v="11"/>
    <x v="57"/>
    <n v="4"/>
    <n v="0"/>
    <n v="4"/>
    <n v="0"/>
    <n v="0"/>
    <n v="-4"/>
  </r>
  <r>
    <n v="18"/>
    <d v="2024-05-12T00:00:00"/>
    <x v="0"/>
    <n v="8"/>
    <n v="8"/>
    <x v="39"/>
    <n v="3"/>
    <n v="0"/>
    <n v="3"/>
    <n v="0"/>
    <n v="0"/>
    <n v="0"/>
  </r>
  <r>
    <n v="18"/>
    <d v="2024-05-12T00:00:00"/>
    <x v="0"/>
    <n v="9"/>
    <n v="11"/>
    <x v="58"/>
    <n v="2"/>
    <n v="0"/>
    <n v="2"/>
    <n v="0"/>
    <n v="0"/>
    <n v="-2"/>
  </r>
  <r>
    <n v="18"/>
    <d v="2024-05-12T00:00:00"/>
    <x v="0"/>
    <n v="10"/>
    <n v="10"/>
    <x v="53"/>
    <n v="1"/>
    <n v="0"/>
    <n v="1"/>
    <n v="0"/>
    <n v="0"/>
    <n v="0"/>
  </r>
  <r>
    <n v="18"/>
    <d v="2024-05-12T00:00:00"/>
    <x v="1"/>
    <n v="1"/>
    <n v="1"/>
    <x v="54"/>
    <n v="10"/>
    <n v="9"/>
    <n v="19"/>
    <n v="1"/>
    <n v="1"/>
    <n v="0"/>
  </r>
  <r>
    <n v="18"/>
    <d v="2024-05-12T00:00:00"/>
    <x v="1"/>
    <n v="2"/>
    <n v="2"/>
    <x v="47"/>
    <n v="9"/>
    <n v="7"/>
    <n v="16"/>
    <n v="0"/>
    <n v="1"/>
    <n v="0"/>
  </r>
  <r>
    <n v="18"/>
    <d v="2024-05-12T00:00:00"/>
    <x v="1"/>
    <n v="3"/>
    <n v="3"/>
    <x v="50"/>
    <n v="8"/>
    <n v="5"/>
    <n v="13"/>
    <n v="0"/>
    <n v="1"/>
    <n v="0"/>
  </r>
  <r>
    <n v="18"/>
    <d v="2024-05-12T00:00:00"/>
    <x v="1"/>
    <n v="4"/>
    <n v="4"/>
    <x v="55"/>
    <n v="7"/>
    <n v="3"/>
    <n v="10"/>
    <n v="0"/>
    <n v="0"/>
    <n v="0"/>
  </r>
  <r>
    <n v="18"/>
    <d v="2024-05-12T00:00:00"/>
    <x v="1"/>
    <n v="5"/>
    <n v="5"/>
    <x v="33"/>
    <n v="6"/>
    <n v="1"/>
    <n v="7"/>
    <n v="0"/>
    <n v="0"/>
    <n v="0"/>
  </r>
  <r>
    <n v="18"/>
    <d v="2024-05-12T00:00:00"/>
    <x v="1"/>
    <n v="6"/>
    <n v="6"/>
    <x v="43"/>
    <n v="5"/>
    <n v="0"/>
    <n v="5"/>
    <n v="0"/>
    <n v="0"/>
    <n v="0"/>
  </r>
  <r>
    <n v="18"/>
    <d v="2024-05-12T00:00:00"/>
    <x v="1"/>
    <n v="7"/>
    <n v="7"/>
    <x v="15"/>
    <n v="4"/>
    <n v="0"/>
    <n v="4"/>
    <n v="0"/>
    <n v="0"/>
    <n v="0"/>
  </r>
  <r>
    <n v="18"/>
    <d v="2024-05-12T00:00:00"/>
    <x v="1"/>
    <n v="8"/>
    <n v="8"/>
    <x v="48"/>
    <n v="3"/>
    <n v="0"/>
    <n v="3"/>
    <n v="0"/>
    <n v="0"/>
    <n v="0"/>
  </r>
  <r>
    <n v="18"/>
    <d v="2024-05-12T00:00:00"/>
    <x v="1"/>
    <n v="9"/>
    <n v="10"/>
    <x v="56"/>
    <n v="2"/>
    <n v="0"/>
    <n v="2"/>
    <n v="0"/>
    <n v="0"/>
    <n v="-1"/>
  </r>
  <r>
    <n v="18"/>
    <d v="2024-05-12T00:00:00"/>
    <x v="1"/>
    <n v="10"/>
    <n v="9"/>
    <x v="52"/>
    <n v="1"/>
    <n v="0"/>
    <n v="1"/>
    <n v="0"/>
    <n v="0"/>
    <n v="1"/>
  </r>
  <r>
    <n v="19"/>
    <d v="2024-05-19T00:00:00"/>
    <x v="0"/>
    <n v="1"/>
    <n v="2"/>
    <x v="45"/>
    <n v="10"/>
    <n v="9"/>
    <n v="19"/>
    <n v="1"/>
    <n v="1"/>
    <n v="-1"/>
  </r>
  <r>
    <n v="19"/>
    <d v="2024-05-19T00:00:00"/>
    <x v="0"/>
    <n v="2"/>
    <n v="1"/>
    <x v="8"/>
    <n v="9"/>
    <n v="7"/>
    <n v="16"/>
    <n v="0"/>
    <n v="1"/>
    <n v="1"/>
  </r>
  <r>
    <n v="19"/>
    <d v="2024-05-19T00:00:00"/>
    <x v="0"/>
    <n v="3"/>
    <n v="3"/>
    <x v="49"/>
    <n v="8"/>
    <n v="5"/>
    <n v="13"/>
    <n v="0"/>
    <n v="1"/>
    <n v="0"/>
  </r>
  <r>
    <n v="19"/>
    <d v="2024-05-19T00:00:00"/>
    <x v="0"/>
    <n v="4"/>
    <n v="4"/>
    <x v="24"/>
    <n v="7"/>
    <n v="3"/>
    <n v="10"/>
    <n v="0"/>
    <n v="0"/>
    <n v="0"/>
  </r>
  <r>
    <n v="19"/>
    <d v="2024-05-19T00:00:00"/>
    <x v="0"/>
    <n v="5"/>
    <n v="5"/>
    <x v="44"/>
    <n v="6"/>
    <n v="1"/>
    <n v="7"/>
    <n v="0"/>
    <n v="0"/>
    <n v="0"/>
  </r>
  <r>
    <n v="19"/>
    <d v="2024-05-19T00:00:00"/>
    <x v="0"/>
    <n v="6"/>
    <n v="6"/>
    <x v="51"/>
    <n v="5"/>
    <n v="0"/>
    <n v="5"/>
    <n v="0"/>
    <n v="0"/>
    <n v="0"/>
  </r>
  <r>
    <n v="19"/>
    <d v="2024-05-19T00:00:00"/>
    <x v="0"/>
    <n v="7"/>
    <n v="7"/>
    <x v="57"/>
    <n v="4"/>
    <n v="0"/>
    <n v="4"/>
    <n v="0"/>
    <n v="0"/>
    <n v="0"/>
  </r>
  <r>
    <n v="19"/>
    <d v="2024-05-19T00:00:00"/>
    <x v="0"/>
    <n v="8"/>
    <n v="9"/>
    <x v="58"/>
    <n v="3"/>
    <n v="0"/>
    <n v="3"/>
    <n v="0"/>
    <n v="0"/>
    <n v="-1"/>
  </r>
  <r>
    <n v="19"/>
    <d v="2024-05-19T00:00:00"/>
    <x v="0"/>
    <n v="9"/>
    <n v="10"/>
    <x v="53"/>
    <n v="2"/>
    <n v="0"/>
    <n v="2"/>
    <n v="0"/>
    <n v="0"/>
    <n v="-1"/>
  </r>
  <r>
    <n v="19"/>
    <d v="2024-05-19T00:00:00"/>
    <x v="0"/>
    <n v="10"/>
    <n v="8"/>
    <x v="39"/>
    <n v="1"/>
    <n v="0"/>
    <n v="1"/>
    <n v="0"/>
    <n v="0"/>
    <n v="2"/>
  </r>
  <r>
    <n v="19"/>
    <d v="2024-05-19T00:00:00"/>
    <x v="1"/>
    <n v="1"/>
    <n v="1"/>
    <x v="54"/>
    <n v="10"/>
    <n v="9"/>
    <n v="19"/>
    <n v="1"/>
    <n v="1"/>
    <n v="0"/>
  </r>
  <r>
    <n v="19"/>
    <d v="2024-05-19T00:00:00"/>
    <x v="1"/>
    <n v="2"/>
    <n v="2"/>
    <x v="47"/>
    <n v="9"/>
    <n v="7"/>
    <n v="16"/>
    <n v="0"/>
    <n v="1"/>
    <n v="0"/>
  </r>
  <r>
    <n v="19"/>
    <d v="2024-05-19T00:00:00"/>
    <x v="1"/>
    <n v="3"/>
    <n v="3"/>
    <x v="50"/>
    <n v="8"/>
    <n v="5"/>
    <n v="13"/>
    <n v="0"/>
    <n v="1"/>
    <n v="0"/>
  </r>
  <r>
    <n v="19"/>
    <d v="2024-05-19T00:00:00"/>
    <x v="1"/>
    <n v="4"/>
    <n v="4"/>
    <x v="55"/>
    <n v="7"/>
    <n v="3"/>
    <n v="10"/>
    <n v="0"/>
    <n v="0"/>
    <n v="0"/>
  </r>
  <r>
    <n v="19"/>
    <d v="2024-05-19T00:00:00"/>
    <x v="1"/>
    <n v="5"/>
    <n v="5"/>
    <x v="33"/>
    <n v="6"/>
    <n v="1"/>
    <n v="7"/>
    <n v="0"/>
    <n v="0"/>
    <n v="0"/>
  </r>
  <r>
    <n v="19"/>
    <d v="2024-05-19T00:00:00"/>
    <x v="1"/>
    <n v="6"/>
    <n v="6"/>
    <x v="43"/>
    <n v="5"/>
    <n v="0"/>
    <n v="5"/>
    <n v="0"/>
    <n v="0"/>
    <n v="0"/>
  </r>
  <r>
    <n v="19"/>
    <d v="2024-05-19T00:00:00"/>
    <x v="1"/>
    <n v="7"/>
    <n v="11"/>
    <x v="59"/>
    <n v="4"/>
    <n v="0"/>
    <n v="4"/>
    <n v="0"/>
    <n v="0"/>
    <n v="-4"/>
  </r>
  <r>
    <n v="19"/>
    <d v="2024-05-19T00:00:00"/>
    <x v="1"/>
    <n v="8"/>
    <n v="8"/>
    <x v="48"/>
    <n v="3"/>
    <n v="0"/>
    <n v="3"/>
    <n v="0"/>
    <n v="0"/>
    <n v="0"/>
  </r>
  <r>
    <n v="19"/>
    <d v="2024-05-19T00:00:00"/>
    <x v="1"/>
    <n v="9"/>
    <n v="9"/>
    <x v="56"/>
    <n v="2"/>
    <n v="0"/>
    <n v="2"/>
    <n v="0"/>
    <n v="0"/>
    <n v="0"/>
  </r>
  <r>
    <n v="19"/>
    <d v="2024-05-19T00:00:00"/>
    <x v="1"/>
    <n v="10"/>
    <n v="10"/>
    <x v="52"/>
    <n v="1"/>
    <n v="0"/>
    <n v="1"/>
    <n v="0"/>
    <n v="0"/>
    <n v="0"/>
  </r>
  <r>
    <n v="20"/>
    <d v="2024-06-09T00:00:00"/>
    <x v="0"/>
    <n v="1"/>
    <n v="1"/>
    <x v="45"/>
    <n v="10"/>
    <n v="9"/>
    <n v="19"/>
    <n v="1"/>
    <n v="1"/>
    <n v="0"/>
  </r>
  <r>
    <n v="20"/>
    <d v="2024-06-09T00:00:00"/>
    <x v="0"/>
    <n v="2"/>
    <n v="2"/>
    <x v="8"/>
    <n v="9"/>
    <n v="7"/>
    <n v="16"/>
    <n v="0"/>
    <n v="1"/>
    <n v="0"/>
  </r>
  <r>
    <n v="20"/>
    <d v="2024-06-09T00:00:00"/>
    <x v="0"/>
    <n v="3"/>
    <n v="3"/>
    <x v="49"/>
    <n v="8"/>
    <n v="5"/>
    <n v="13"/>
    <n v="0"/>
    <n v="1"/>
    <n v="0"/>
  </r>
  <r>
    <n v="20"/>
    <d v="2024-06-09T00:00:00"/>
    <x v="0"/>
    <n v="4"/>
    <n v="4"/>
    <x v="24"/>
    <n v="7"/>
    <n v="3"/>
    <n v="10"/>
    <n v="0"/>
    <n v="0"/>
    <n v="0"/>
  </r>
  <r>
    <n v="20"/>
    <d v="2024-06-09T00:00:00"/>
    <x v="0"/>
    <n v="5"/>
    <n v="5"/>
    <x v="44"/>
    <n v="6"/>
    <n v="1"/>
    <n v="7"/>
    <n v="0"/>
    <n v="0"/>
    <n v="0"/>
  </r>
  <r>
    <n v="20"/>
    <d v="2024-06-09T00:00:00"/>
    <x v="0"/>
    <n v="6"/>
    <n v="6"/>
    <x v="51"/>
    <n v="5"/>
    <n v="0"/>
    <n v="5"/>
    <n v="0"/>
    <n v="0"/>
    <n v="0"/>
  </r>
  <r>
    <n v="20"/>
    <d v="2024-06-09T00:00:00"/>
    <x v="0"/>
    <n v="7"/>
    <n v="7"/>
    <x v="57"/>
    <n v="4"/>
    <n v="0"/>
    <n v="4"/>
    <n v="0"/>
    <n v="0"/>
    <n v="0"/>
  </r>
  <r>
    <n v="20"/>
    <d v="2024-06-09T00:00:00"/>
    <x v="0"/>
    <n v="8"/>
    <n v="8"/>
    <x v="58"/>
    <n v="3"/>
    <n v="0"/>
    <n v="3"/>
    <n v="0"/>
    <n v="0"/>
    <n v="0"/>
  </r>
  <r>
    <n v="20"/>
    <d v="2024-06-09T00:00:00"/>
    <x v="0"/>
    <n v="9"/>
    <n v="9"/>
    <x v="53"/>
    <n v="2"/>
    <n v="0"/>
    <n v="2"/>
    <n v="0"/>
    <n v="0"/>
    <n v="0"/>
  </r>
  <r>
    <n v="20"/>
    <d v="2024-06-09T00:00:00"/>
    <x v="0"/>
    <n v="10"/>
    <n v="10"/>
    <x v="39"/>
    <n v="1"/>
    <n v="0"/>
    <n v="1"/>
    <n v="0"/>
    <n v="0"/>
    <n v="0"/>
  </r>
  <r>
    <n v="20"/>
    <d v="2024-06-09T00:00:00"/>
    <x v="1"/>
    <n v="1"/>
    <n v="1"/>
    <x v="54"/>
    <n v="10"/>
    <n v="9"/>
    <n v="19"/>
    <n v="1"/>
    <n v="1"/>
    <n v="0"/>
  </r>
  <r>
    <n v="20"/>
    <d v="2024-06-09T00:00:00"/>
    <x v="1"/>
    <n v="2"/>
    <n v="2"/>
    <x v="47"/>
    <n v="9"/>
    <n v="7"/>
    <n v="16"/>
    <n v="0"/>
    <n v="1"/>
    <n v="0"/>
  </r>
  <r>
    <n v="20"/>
    <d v="2024-06-09T00:00:00"/>
    <x v="1"/>
    <n v="3"/>
    <n v="3"/>
    <x v="50"/>
    <n v="8"/>
    <n v="5"/>
    <n v="13"/>
    <n v="0"/>
    <n v="1"/>
    <n v="0"/>
  </r>
  <r>
    <n v="20"/>
    <d v="2024-06-09T00:00:00"/>
    <x v="1"/>
    <n v="4"/>
    <n v="4"/>
    <x v="55"/>
    <n v="7"/>
    <n v="3"/>
    <n v="10"/>
    <n v="0"/>
    <n v="0"/>
    <n v="0"/>
  </r>
  <r>
    <n v="20"/>
    <d v="2024-06-09T00:00:00"/>
    <x v="1"/>
    <n v="5"/>
    <n v="5"/>
    <x v="33"/>
    <n v="6"/>
    <n v="1"/>
    <n v="7"/>
    <n v="0"/>
    <n v="0"/>
    <n v="0"/>
  </r>
  <r>
    <n v="20"/>
    <d v="2024-06-09T00:00:00"/>
    <x v="1"/>
    <n v="6"/>
    <n v="6"/>
    <x v="43"/>
    <n v="5"/>
    <n v="0"/>
    <n v="5"/>
    <n v="0"/>
    <n v="0"/>
    <n v="0"/>
  </r>
  <r>
    <n v="20"/>
    <d v="2024-06-09T00:00:00"/>
    <x v="1"/>
    <n v="7"/>
    <n v="7"/>
    <x v="59"/>
    <n v="4"/>
    <n v="0"/>
    <n v="4"/>
    <n v="0"/>
    <n v="0"/>
    <n v="0"/>
  </r>
  <r>
    <n v="20"/>
    <d v="2024-06-09T00:00:00"/>
    <x v="1"/>
    <n v="8"/>
    <n v="8"/>
    <x v="48"/>
    <n v="3"/>
    <n v="0"/>
    <n v="3"/>
    <n v="0"/>
    <n v="0"/>
    <n v="0"/>
  </r>
  <r>
    <n v="20"/>
    <d v="2024-06-09T00:00:00"/>
    <x v="1"/>
    <n v="9"/>
    <n v="9"/>
    <x v="56"/>
    <n v="2"/>
    <n v="0"/>
    <n v="2"/>
    <n v="0"/>
    <n v="0"/>
    <n v="0"/>
  </r>
  <r>
    <n v="20"/>
    <d v="2024-06-09T00:00:00"/>
    <x v="1"/>
    <n v="10"/>
    <n v="10"/>
    <x v="52"/>
    <n v="1"/>
    <n v="0"/>
    <n v="1"/>
    <n v="0"/>
    <n v="0"/>
    <n v="0"/>
  </r>
  <r>
    <n v="23"/>
    <d v="2024-06-30T00:00:00"/>
    <x v="0"/>
    <n v="1"/>
    <n v="1"/>
    <x v="45"/>
    <n v="10"/>
    <n v="9"/>
    <n v="19"/>
    <n v="1"/>
    <n v="1"/>
    <n v="0"/>
  </r>
  <r>
    <n v="23"/>
    <d v="2024-06-30T00:00:00"/>
    <x v="0"/>
    <n v="2"/>
    <n v="2"/>
    <x v="8"/>
    <n v="9"/>
    <n v="7"/>
    <n v="16"/>
    <n v="0"/>
    <n v="1"/>
    <n v="0"/>
  </r>
  <r>
    <n v="23"/>
    <d v="2024-06-30T00:00:00"/>
    <x v="0"/>
    <n v="3"/>
    <n v="4"/>
    <x v="24"/>
    <n v="8"/>
    <n v="5"/>
    <n v="13"/>
    <n v="0"/>
    <n v="1"/>
    <n v="-1"/>
  </r>
  <r>
    <n v="23"/>
    <d v="2024-06-30T00:00:00"/>
    <x v="0"/>
    <n v="4"/>
    <n v="3"/>
    <x v="49"/>
    <n v="7"/>
    <n v="3"/>
    <n v="10"/>
    <n v="0"/>
    <n v="0"/>
    <n v="1"/>
  </r>
  <r>
    <n v="23"/>
    <d v="2024-06-30T00:00:00"/>
    <x v="0"/>
    <n v="5"/>
    <n v="7"/>
    <x v="57"/>
    <n v="6"/>
    <n v="1"/>
    <n v="7"/>
    <n v="0"/>
    <n v="0"/>
    <n v="-2"/>
  </r>
  <r>
    <n v="23"/>
    <d v="2024-06-30T00:00:00"/>
    <x v="0"/>
    <n v="6"/>
    <n v="8"/>
    <x v="58"/>
    <n v="5"/>
    <n v="0"/>
    <n v="5"/>
    <n v="0"/>
    <n v="0"/>
    <n v="-2"/>
  </r>
  <r>
    <n v="23"/>
    <d v="2024-06-30T00:00:00"/>
    <x v="0"/>
    <n v="7"/>
    <n v="9"/>
    <x v="53"/>
    <n v="4"/>
    <n v="0"/>
    <n v="4"/>
    <n v="0"/>
    <n v="0"/>
    <n v="-2"/>
  </r>
  <r>
    <n v="23"/>
    <d v="2024-06-30T00:00:00"/>
    <x v="0"/>
    <n v="8"/>
    <n v="5"/>
    <x v="44"/>
    <n v="3"/>
    <n v="0"/>
    <n v="3"/>
    <n v="0"/>
    <n v="0"/>
    <n v="3"/>
  </r>
  <r>
    <n v="23"/>
    <d v="2024-06-30T00:00:00"/>
    <x v="0"/>
    <n v="9"/>
    <n v="6"/>
    <x v="51"/>
    <n v="2"/>
    <n v="0"/>
    <n v="2"/>
    <n v="0"/>
    <n v="0"/>
    <n v="3"/>
  </r>
  <r>
    <n v="23"/>
    <d v="2024-06-30T00:00:00"/>
    <x v="0"/>
    <n v="10"/>
    <n v="10"/>
    <x v="39"/>
    <n v="1"/>
    <n v="0"/>
    <n v="1"/>
    <n v="0"/>
    <n v="0"/>
    <n v="0"/>
  </r>
  <r>
    <n v="23"/>
    <d v="2024-06-30T00:00:00"/>
    <x v="1"/>
    <n v="1"/>
    <n v="2"/>
    <x v="47"/>
    <n v="10"/>
    <n v="9"/>
    <n v="19"/>
    <n v="1"/>
    <n v="1"/>
    <n v="-1"/>
  </r>
  <r>
    <n v="23"/>
    <d v="2024-06-30T00:00:00"/>
    <x v="1"/>
    <n v="2"/>
    <n v="4"/>
    <x v="55"/>
    <n v="9"/>
    <n v="7"/>
    <n v="16"/>
    <n v="0"/>
    <n v="1"/>
    <n v="-2"/>
  </r>
  <r>
    <n v="23"/>
    <d v="2024-06-30T00:00:00"/>
    <x v="1"/>
    <n v="3"/>
    <n v="1"/>
    <x v="54"/>
    <n v="8"/>
    <n v="5"/>
    <n v="13"/>
    <n v="0"/>
    <n v="1"/>
    <n v="2"/>
  </r>
  <r>
    <n v="23"/>
    <d v="2024-06-30T00:00:00"/>
    <x v="1"/>
    <n v="4"/>
    <n v="3"/>
    <x v="50"/>
    <n v="7"/>
    <n v="3"/>
    <n v="10"/>
    <n v="0"/>
    <n v="0"/>
    <n v="1"/>
  </r>
  <r>
    <n v="23"/>
    <d v="2024-06-30T00:00:00"/>
    <x v="1"/>
    <n v="5"/>
    <n v="9"/>
    <x v="56"/>
    <n v="6"/>
    <n v="1"/>
    <n v="7"/>
    <n v="0"/>
    <n v="0"/>
    <n v="-4"/>
  </r>
  <r>
    <n v="23"/>
    <d v="2024-06-30T00:00:00"/>
    <x v="1"/>
    <n v="6"/>
    <n v="8"/>
    <x v="48"/>
    <n v="5"/>
    <n v="0"/>
    <n v="5"/>
    <n v="0"/>
    <n v="0"/>
    <n v="-2"/>
  </r>
  <r>
    <n v="23"/>
    <d v="2024-06-30T00:00:00"/>
    <x v="1"/>
    <n v="7"/>
    <n v="6"/>
    <x v="43"/>
    <n v="4"/>
    <n v="0"/>
    <n v="4"/>
    <n v="0"/>
    <n v="0"/>
    <n v="1"/>
  </r>
  <r>
    <n v="23"/>
    <d v="2024-06-30T00:00:00"/>
    <x v="1"/>
    <n v="8"/>
    <n v="10"/>
    <x v="52"/>
    <n v="3"/>
    <n v="0"/>
    <n v="3"/>
    <n v="0"/>
    <n v="0"/>
    <n v="-2"/>
  </r>
  <r>
    <n v="23"/>
    <d v="2024-06-30T00:00:00"/>
    <x v="1"/>
    <n v="9"/>
    <n v="5"/>
    <x v="33"/>
    <n v="2"/>
    <n v="0"/>
    <n v="2"/>
    <n v="0"/>
    <n v="0"/>
    <n v="4"/>
  </r>
  <r>
    <n v="23"/>
    <d v="2024-06-30T00:00:00"/>
    <x v="1"/>
    <n v="10"/>
    <n v="11"/>
    <x v="60"/>
    <n v="1"/>
    <n v="0"/>
    <n v="1"/>
    <n v="0"/>
    <n v="0"/>
    <n v="-1"/>
  </r>
  <r>
    <n v="24"/>
    <d v="2024-07-14T00:00:00"/>
    <x v="0"/>
    <n v="1"/>
    <n v="4"/>
    <x v="49"/>
    <n v="10"/>
    <n v="9"/>
    <n v="19"/>
    <n v="1"/>
    <n v="1"/>
    <n v="-3"/>
  </r>
  <r>
    <n v="24"/>
    <d v="2024-07-14T00:00:00"/>
    <x v="0"/>
    <n v="2"/>
    <n v="1"/>
    <x v="45"/>
    <n v="9"/>
    <n v="7"/>
    <n v="16"/>
    <n v="0"/>
    <n v="1"/>
    <n v="1"/>
  </r>
  <r>
    <n v="24"/>
    <d v="2024-07-14T00:00:00"/>
    <x v="0"/>
    <n v="3"/>
    <n v="2"/>
    <x v="8"/>
    <n v="8"/>
    <n v="5"/>
    <n v="13"/>
    <n v="0"/>
    <n v="1"/>
    <n v="1"/>
  </r>
  <r>
    <n v="24"/>
    <d v="2024-07-14T00:00:00"/>
    <x v="0"/>
    <n v="4"/>
    <n v="7"/>
    <x v="53"/>
    <n v="7"/>
    <n v="3"/>
    <n v="10"/>
    <n v="0"/>
    <n v="0"/>
    <n v="-3"/>
  </r>
  <r>
    <n v="24"/>
    <d v="2024-07-14T00:00:00"/>
    <x v="0"/>
    <n v="5"/>
    <n v="5"/>
    <x v="57"/>
    <n v="6"/>
    <n v="1"/>
    <n v="7"/>
    <n v="0"/>
    <n v="0"/>
    <n v="0"/>
  </r>
  <r>
    <n v="24"/>
    <d v="2024-07-14T00:00:00"/>
    <x v="0"/>
    <n v="6"/>
    <n v="8"/>
    <x v="44"/>
    <n v="5"/>
    <n v="0"/>
    <n v="5"/>
    <n v="0"/>
    <n v="0"/>
    <n v="-2"/>
  </r>
  <r>
    <n v="24"/>
    <d v="2024-07-14T00:00:00"/>
    <x v="0"/>
    <n v="7"/>
    <n v="9"/>
    <x v="51"/>
    <n v="4"/>
    <n v="0"/>
    <n v="4"/>
    <n v="0"/>
    <n v="0"/>
    <n v="-2"/>
  </r>
  <r>
    <n v="24"/>
    <d v="2024-07-14T00:00:00"/>
    <x v="0"/>
    <n v="8"/>
    <n v="11"/>
    <x v="61"/>
    <n v="3"/>
    <n v="0"/>
    <n v="3"/>
    <n v="0"/>
    <n v="0"/>
    <n v="-3"/>
  </r>
  <r>
    <n v="24"/>
    <d v="2024-07-14T00:00:00"/>
    <x v="0"/>
    <n v="9"/>
    <n v="3"/>
    <x v="24"/>
    <n v="2"/>
    <n v="0"/>
    <n v="2"/>
    <n v="0"/>
    <n v="0"/>
    <n v="6"/>
  </r>
  <r>
    <n v="24"/>
    <d v="2024-07-14T00:00:00"/>
    <x v="0"/>
    <n v="10"/>
    <n v="10"/>
    <x v="39"/>
    <n v="1"/>
    <n v="0"/>
    <n v="1"/>
    <n v="0"/>
    <n v="0"/>
    <n v="0"/>
  </r>
  <r>
    <n v="24"/>
    <d v="2024-07-14T00:00:00"/>
    <x v="1"/>
    <n v="1"/>
    <n v="1"/>
    <x v="47"/>
    <n v="10"/>
    <n v="9"/>
    <n v="19"/>
    <n v="1"/>
    <n v="1"/>
    <n v="0"/>
  </r>
  <r>
    <n v="24"/>
    <d v="2024-07-14T00:00:00"/>
    <x v="1"/>
    <n v="2"/>
    <n v="3"/>
    <x v="54"/>
    <n v="9"/>
    <n v="7"/>
    <n v="16"/>
    <n v="0"/>
    <n v="1"/>
    <n v="-1"/>
  </r>
  <r>
    <n v="24"/>
    <d v="2024-07-14T00:00:00"/>
    <x v="1"/>
    <n v="3"/>
    <n v="2"/>
    <x v="55"/>
    <n v="8"/>
    <n v="5"/>
    <n v="13"/>
    <n v="0"/>
    <n v="1"/>
    <n v="1"/>
  </r>
  <r>
    <n v="24"/>
    <d v="2024-07-14T00:00:00"/>
    <x v="1"/>
    <n v="4"/>
    <n v="5"/>
    <x v="56"/>
    <n v="7"/>
    <n v="3"/>
    <n v="10"/>
    <n v="0"/>
    <n v="0"/>
    <n v="-1"/>
  </r>
  <r>
    <n v="24"/>
    <d v="2024-07-14T00:00:00"/>
    <x v="1"/>
    <n v="5"/>
    <n v="4"/>
    <x v="50"/>
    <n v="6"/>
    <n v="1"/>
    <n v="7"/>
    <n v="0"/>
    <n v="0"/>
    <n v="1"/>
  </r>
  <r>
    <n v="24"/>
    <d v="2024-07-14T00:00:00"/>
    <x v="1"/>
    <n v="6"/>
    <n v="6"/>
    <x v="48"/>
    <n v="5"/>
    <n v="0"/>
    <n v="5"/>
    <n v="0"/>
    <n v="0"/>
    <n v="0"/>
  </r>
  <r>
    <n v="24"/>
    <d v="2024-07-14T00:00:00"/>
    <x v="1"/>
    <n v="7"/>
    <n v="7"/>
    <x v="43"/>
    <n v="4"/>
    <n v="0"/>
    <n v="4"/>
    <n v="0"/>
    <n v="0"/>
    <n v="0"/>
  </r>
  <r>
    <n v="24"/>
    <d v="2024-07-14T00:00:00"/>
    <x v="1"/>
    <n v="8"/>
    <n v="11"/>
    <x v="62"/>
    <n v="3"/>
    <n v="0"/>
    <n v="3"/>
    <n v="0"/>
    <n v="0"/>
    <n v="-3"/>
  </r>
  <r>
    <n v="24"/>
    <d v="2024-07-14T00:00:00"/>
    <x v="1"/>
    <n v="9"/>
    <n v="10"/>
    <x v="60"/>
    <n v="2"/>
    <n v="0"/>
    <n v="2"/>
    <n v="0"/>
    <n v="0"/>
    <n v="-1"/>
  </r>
  <r>
    <n v="24"/>
    <d v="2024-07-14T00:00:00"/>
    <x v="1"/>
    <n v="10"/>
    <n v="9"/>
    <x v="33"/>
    <n v="1"/>
    <n v="0"/>
    <n v="1"/>
    <n v="0"/>
    <n v="0"/>
    <n v="1"/>
  </r>
  <r>
    <n v="25"/>
    <d v="2024-07-28T00:00:00"/>
    <x v="0"/>
    <n v="1"/>
    <n v="1"/>
    <x v="49"/>
    <n v="10"/>
    <n v="9"/>
    <n v="19"/>
    <n v="1"/>
    <n v="1"/>
    <n v="0"/>
  </r>
  <r>
    <n v="25"/>
    <d v="2024-07-28T00:00:00"/>
    <x v="0"/>
    <n v="2"/>
    <n v="2"/>
    <x v="45"/>
    <n v="9"/>
    <n v="7"/>
    <n v="16"/>
    <n v="0"/>
    <n v="1"/>
    <n v="0"/>
  </r>
  <r>
    <n v="25"/>
    <d v="2024-07-28T00:00:00"/>
    <x v="0"/>
    <n v="3"/>
    <n v="8"/>
    <x v="61"/>
    <n v="8"/>
    <n v="5"/>
    <n v="13"/>
    <n v="0"/>
    <n v="1"/>
    <n v="-5"/>
  </r>
  <r>
    <n v="25"/>
    <d v="2024-07-28T00:00:00"/>
    <x v="0"/>
    <n v="4"/>
    <n v="3"/>
    <x v="8"/>
    <n v="7"/>
    <n v="3"/>
    <n v="10"/>
    <n v="0"/>
    <n v="0"/>
    <n v="1"/>
  </r>
  <r>
    <n v="25"/>
    <d v="2024-07-28T00:00:00"/>
    <x v="0"/>
    <n v="5"/>
    <n v="5"/>
    <x v="57"/>
    <n v="6"/>
    <n v="1"/>
    <n v="7"/>
    <n v="0"/>
    <n v="0"/>
    <n v="0"/>
  </r>
  <r>
    <n v="25"/>
    <d v="2024-07-28T00:00:00"/>
    <x v="0"/>
    <n v="6"/>
    <n v="4"/>
    <x v="53"/>
    <n v="5"/>
    <n v="0"/>
    <n v="5"/>
    <n v="0"/>
    <n v="0"/>
    <n v="2"/>
  </r>
  <r>
    <n v="25"/>
    <d v="2024-07-28T00:00:00"/>
    <x v="0"/>
    <n v="7"/>
    <n v="7"/>
    <x v="51"/>
    <n v="4"/>
    <n v="0"/>
    <n v="4"/>
    <n v="0"/>
    <n v="0"/>
    <n v="0"/>
  </r>
  <r>
    <n v="25"/>
    <d v="2024-07-28T00:00:00"/>
    <x v="0"/>
    <n v="8"/>
    <n v="6"/>
    <x v="44"/>
    <n v="3"/>
    <n v="0"/>
    <n v="3"/>
    <n v="0"/>
    <n v="0"/>
    <n v="2"/>
  </r>
  <r>
    <n v="25"/>
    <d v="2024-07-28T00:00:00"/>
    <x v="0"/>
    <n v="9"/>
    <n v="11"/>
    <x v="21"/>
    <n v="2"/>
    <n v="0"/>
    <n v="2"/>
    <n v="0"/>
    <n v="0"/>
    <n v="-2"/>
  </r>
  <r>
    <n v="25"/>
    <d v="2024-07-28T00:00:00"/>
    <x v="0"/>
    <n v="10"/>
    <n v="11"/>
    <x v="28"/>
    <n v="1"/>
    <n v="0"/>
    <n v="1"/>
    <n v="0"/>
    <n v="0"/>
    <n v="-1"/>
  </r>
  <r>
    <n v="25"/>
    <d v="2024-07-28T00:00:00"/>
    <x v="1"/>
    <n v="1"/>
    <n v="1"/>
    <x v="47"/>
    <n v="10"/>
    <n v="9"/>
    <n v="19"/>
    <n v="1"/>
    <n v="1"/>
    <n v="0"/>
  </r>
  <r>
    <n v="25"/>
    <d v="2024-07-28T00:00:00"/>
    <x v="1"/>
    <n v="2"/>
    <n v="2"/>
    <x v="54"/>
    <n v="9"/>
    <n v="7"/>
    <n v="16"/>
    <n v="0"/>
    <n v="1"/>
    <n v="0"/>
  </r>
  <r>
    <n v="25"/>
    <d v="2024-07-28T00:00:00"/>
    <x v="1"/>
    <n v="3"/>
    <n v="4"/>
    <x v="56"/>
    <n v="8"/>
    <n v="5"/>
    <n v="13"/>
    <n v="0"/>
    <n v="1"/>
    <n v="-1"/>
  </r>
  <r>
    <n v="25"/>
    <d v="2024-07-28T00:00:00"/>
    <x v="1"/>
    <n v="4"/>
    <n v="3"/>
    <x v="55"/>
    <n v="7"/>
    <n v="3"/>
    <n v="10"/>
    <n v="0"/>
    <n v="0"/>
    <n v="1"/>
  </r>
  <r>
    <n v="25"/>
    <d v="2024-07-28T00:00:00"/>
    <x v="1"/>
    <n v="5"/>
    <n v="8"/>
    <x v="62"/>
    <n v="6"/>
    <n v="1"/>
    <n v="7"/>
    <n v="0"/>
    <n v="0"/>
    <n v="-3"/>
  </r>
  <r>
    <n v="25"/>
    <d v="2024-07-28T00:00:00"/>
    <x v="1"/>
    <n v="6"/>
    <n v="9"/>
    <x v="60"/>
    <n v="5"/>
    <n v="0"/>
    <n v="5"/>
    <n v="0"/>
    <n v="0"/>
    <n v="-3"/>
  </r>
  <r>
    <n v="25"/>
    <d v="2024-07-28T00:00:00"/>
    <x v="1"/>
    <n v="7"/>
    <n v="6"/>
    <x v="48"/>
    <n v="4"/>
    <n v="0"/>
    <n v="4"/>
    <n v="0"/>
    <n v="0"/>
    <n v="1"/>
  </r>
  <r>
    <n v="25"/>
    <d v="2024-07-28T00:00:00"/>
    <x v="1"/>
    <n v="8"/>
    <n v="11"/>
    <x v="63"/>
    <n v="3"/>
    <n v="0"/>
    <n v="3"/>
    <n v="0"/>
    <n v="0"/>
    <n v="-3"/>
  </r>
  <r>
    <n v="25"/>
    <d v="2024-07-28T00:00:00"/>
    <x v="1"/>
    <n v="9"/>
    <n v="5"/>
    <x v="50"/>
    <n v="2"/>
    <n v="0"/>
    <n v="2"/>
    <n v="0"/>
    <n v="0"/>
    <n v="4"/>
  </r>
  <r>
    <n v="25"/>
    <d v="2024-07-28T00:00:00"/>
    <x v="1"/>
    <n v="10"/>
    <n v="11"/>
    <x v="64"/>
    <n v="1"/>
    <n v="0"/>
    <n v="1"/>
    <n v="0"/>
    <n v="0"/>
    <n v="-1"/>
  </r>
  <r>
    <n v="26"/>
    <d v="2024-08-04T00:00:00"/>
    <x v="0"/>
    <n v="1"/>
    <n v="3"/>
    <x v="61"/>
    <n v="10"/>
    <n v="9"/>
    <n v="19"/>
    <n v="1"/>
    <n v="1"/>
    <n v="-2"/>
  </r>
  <r>
    <n v="26"/>
    <d v="2024-08-04T00:00:00"/>
    <x v="0"/>
    <n v="2"/>
    <n v="2"/>
    <x v="45"/>
    <n v="9"/>
    <n v="7"/>
    <n v="16"/>
    <n v="0"/>
    <n v="1"/>
    <n v="0"/>
  </r>
  <r>
    <n v="26"/>
    <d v="2024-08-04T00:00:00"/>
    <x v="0"/>
    <n v="3"/>
    <n v="7"/>
    <x v="51"/>
    <n v="8"/>
    <n v="5"/>
    <n v="13"/>
    <n v="0"/>
    <n v="1"/>
    <n v="-4"/>
  </r>
  <r>
    <n v="26"/>
    <d v="2024-08-04T00:00:00"/>
    <x v="0"/>
    <n v="4"/>
    <n v="5"/>
    <x v="57"/>
    <n v="7"/>
    <n v="3"/>
    <n v="10"/>
    <n v="0"/>
    <n v="0"/>
    <n v="-1"/>
  </r>
  <r>
    <n v="26"/>
    <d v="2024-08-04T00:00:00"/>
    <x v="0"/>
    <n v="5"/>
    <n v="4"/>
    <x v="8"/>
    <n v="6"/>
    <n v="1"/>
    <n v="7"/>
    <n v="0"/>
    <n v="0"/>
    <n v="1"/>
  </r>
  <r>
    <n v="26"/>
    <d v="2024-08-04T00:00:00"/>
    <x v="0"/>
    <n v="6"/>
    <n v="1"/>
    <x v="49"/>
    <n v="5"/>
    <n v="0"/>
    <n v="5"/>
    <n v="0"/>
    <n v="0"/>
    <n v="5"/>
  </r>
  <r>
    <n v="26"/>
    <d v="2024-08-04T00:00:00"/>
    <x v="0"/>
    <n v="7"/>
    <n v="10"/>
    <x v="28"/>
    <n v="4"/>
    <n v="0"/>
    <n v="4"/>
    <n v="0"/>
    <n v="0"/>
    <n v="-3"/>
  </r>
  <r>
    <n v="26"/>
    <d v="2024-08-04T00:00:00"/>
    <x v="0"/>
    <n v="8"/>
    <n v="11"/>
    <x v="65"/>
    <n v="3"/>
    <n v="0"/>
    <n v="3"/>
    <n v="0"/>
    <n v="0"/>
    <n v="-3"/>
  </r>
  <r>
    <n v="26"/>
    <d v="2024-08-04T00:00:00"/>
    <x v="0"/>
    <n v="9"/>
    <n v="9"/>
    <x v="21"/>
    <n v="2"/>
    <n v="0"/>
    <n v="2"/>
    <n v="0"/>
    <n v="0"/>
    <n v="0"/>
  </r>
  <r>
    <n v="26"/>
    <d v="2024-08-04T00:00:00"/>
    <x v="0"/>
    <n v="10"/>
    <n v="6"/>
    <x v="53"/>
    <n v="1"/>
    <n v="0"/>
    <n v="1"/>
    <n v="0"/>
    <n v="0"/>
    <n v="4"/>
  </r>
  <r>
    <n v="26"/>
    <d v="2024-08-04T00:00:00"/>
    <x v="1"/>
    <n v="1"/>
    <n v="5"/>
    <x v="62"/>
    <n v="10"/>
    <n v="9"/>
    <n v="19"/>
    <n v="1"/>
    <n v="1"/>
    <n v="-4"/>
  </r>
  <r>
    <n v="26"/>
    <d v="2024-08-04T00:00:00"/>
    <x v="1"/>
    <n v="2"/>
    <n v="2"/>
    <x v="54"/>
    <n v="9"/>
    <n v="7"/>
    <n v="16"/>
    <n v="0"/>
    <n v="1"/>
    <n v="0"/>
  </r>
  <r>
    <n v="26"/>
    <d v="2024-08-04T00:00:00"/>
    <x v="1"/>
    <n v="3"/>
    <n v="8"/>
    <x v="63"/>
    <n v="8"/>
    <n v="5"/>
    <n v="13"/>
    <n v="0"/>
    <n v="1"/>
    <n v="-5"/>
  </r>
  <r>
    <n v="26"/>
    <d v="2024-08-04T00:00:00"/>
    <x v="1"/>
    <n v="4"/>
    <n v="6"/>
    <x v="60"/>
    <n v="7"/>
    <n v="3"/>
    <n v="10"/>
    <n v="0"/>
    <n v="0"/>
    <n v="-2"/>
  </r>
  <r>
    <n v="26"/>
    <d v="2024-08-04T00:00:00"/>
    <x v="1"/>
    <n v="5"/>
    <n v="10"/>
    <x v="64"/>
    <n v="6"/>
    <n v="1"/>
    <n v="7"/>
    <n v="0"/>
    <n v="0"/>
    <n v="-5"/>
  </r>
  <r>
    <n v="26"/>
    <d v="2024-08-04T00:00:00"/>
    <x v="1"/>
    <n v="6"/>
    <n v="1"/>
    <x v="47"/>
    <n v="5"/>
    <n v="0"/>
    <n v="5"/>
    <n v="0"/>
    <n v="0"/>
    <n v="5"/>
  </r>
  <r>
    <n v="26"/>
    <d v="2024-08-04T00:00:00"/>
    <x v="1"/>
    <n v="7"/>
    <n v="11"/>
    <x v="66"/>
    <n v="4"/>
    <n v="0"/>
    <n v="4"/>
    <n v="0"/>
    <n v="0"/>
    <n v="-4"/>
  </r>
  <r>
    <n v="26"/>
    <d v="2024-08-04T00:00:00"/>
    <x v="1"/>
    <n v="8"/>
    <n v="4"/>
    <x v="55"/>
    <n v="3"/>
    <n v="0"/>
    <n v="3"/>
    <n v="0"/>
    <n v="0"/>
    <n v="4"/>
  </r>
  <r>
    <n v="26"/>
    <d v="2024-08-04T00:00:00"/>
    <x v="1"/>
    <n v="9"/>
    <n v="11"/>
    <x v="46"/>
    <n v="2"/>
    <n v="0"/>
    <n v="2"/>
    <n v="0"/>
    <n v="0"/>
    <n v="-2"/>
  </r>
  <r>
    <n v="26"/>
    <d v="2024-08-04T00:00:00"/>
    <x v="1"/>
    <n v="10"/>
    <n v="3"/>
    <x v="56"/>
    <n v="1"/>
    <n v="0"/>
    <n v="1"/>
    <n v="0"/>
    <n v="0"/>
    <n v="7"/>
  </r>
  <r>
    <n v="27"/>
    <d v="2024-08-11T00:00:00"/>
    <x v="0"/>
    <n v="1"/>
    <n v="1"/>
    <x v="61"/>
    <n v="10"/>
    <n v="9"/>
    <n v="19"/>
    <n v="1"/>
    <n v="1"/>
    <n v="0"/>
  </r>
  <r>
    <n v="27"/>
    <d v="2024-08-11T00:00:00"/>
    <x v="0"/>
    <n v="2"/>
    <n v="3"/>
    <x v="51"/>
    <n v="9"/>
    <n v="7"/>
    <n v="16"/>
    <n v="0"/>
    <n v="1"/>
    <n v="-1"/>
  </r>
  <r>
    <n v="27"/>
    <d v="2024-08-11T00:00:00"/>
    <x v="0"/>
    <n v="3"/>
    <n v="2"/>
    <x v="45"/>
    <n v="8"/>
    <n v="5"/>
    <n v="13"/>
    <n v="0"/>
    <n v="1"/>
    <n v="1"/>
  </r>
  <r>
    <n v="27"/>
    <d v="2024-08-11T00:00:00"/>
    <x v="0"/>
    <n v="4"/>
    <n v="4"/>
    <x v="57"/>
    <n v="7"/>
    <n v="3"/>
    <n v="10"/>
    <n v="0"/>
    <n v="0"/>
    <n v="0"/>
  </r>
  <r>
    <n v="27"/>
    <d v="2024-08-11T00:00:00"/>
    <x v="0"/>
    <n v="5"/>
    <n v="8"/>
    <x v="65"/>
    <n v="6"/>
    <n v="1"/>
    <n v="7"/>
    <n v="0"/>
    <n v="0"/>
    <n v="-3"/>
  </r>
  <r>
    <n v="27"/>
    <d v="2024-08-11T00:00:00"/>
    <x v="0"/>
    <n v="6"/>
    <n v="5"/>
    <x v="8"/>
    <n v="5"/>
    <n v="0"/>
    <n v="5"/>
    <n v="0"/>
    <n v="0"/>
    <n v="1"/>
  </r>
  <r>
    <n v="27"/>
    <d v="2024-08-11T00:00:00"/>
    <x v="0"/>
    <n v="7"/>
    <n v="7"/>
    <x v="28"/>
    <n v="4"/>
    <n v="0"/>
    <n v="4"/>
    <n v="0"/>
    <n v="0"/>
    <n v="0"/>
  </r>
  <r>
    <n v="27"/>
    <d v="2024-08-11T00:00:00"/>
    <x v="0"/>
    <n v="8"/>
    <n v="11"/>
    <x v="67"/>
    <n v="3"/>
    <n v="0"/>
    <n v="3"/>
    <n v="0"/>
    <n v="0"/>
    <n v="-3"/>
  </r>
  <r>
    <n v="27"/>
    <d v="2024-08-11T00:00:00"/>
    <x v="0"/>
    <n v="9"/>
    <n v="6"/>
    <x v="49"/>
    <n v="2"/>
    <n v="0"/>
    <n v="2"/>
    <n v="0"/>
    <n v="0"/>
    <n v="3"/>
  </r>
  <r>
    <n v="27"/>
    <d v="2024-08-11T00:00:00"/>
    <x v="0"/>
    <n v="10"/>
    <n v="9"/>
    <x v="21"/>
    <n v="1"/>
    <n v="0"/>
    <n v="1"/>
    <n v="0"/>
    <n v="0"/>
    <n v="1"/>
  </r>
  <r>
    <n v="27"/>
    <d v="2024-08-11T00:00:00"/>
    <x v="1"/>
    <n v="1"/>
    <n v="1"/>
    <x v="62"/>
    <n v="10"/>
    <n v="9"/>
    <n v="19"/>
    <n v="1"/>
    <n v="1"/>
    <n v="0"/>
  </r>
  <r>
    <n v="27"/>
    <d v="2024-08-11T00:00:00"/>
    <x v="1"/>
    <n v="2"/>
    <n v="3"/>
    <x v="63"/>
    <n v="9"/>
    <n v="7"/>
    <n v="16"/>
    <n v="0"/>
    <n v="1"/>
    <n v="-1"/>
  </r>
  <r>
    <n v="27"/>
    <d v="2024-08-11T00:00:00"/>
    <x v="1"/>
    <n v="3"/>
    <n v="4"/>
    <x v="60"/>
    <n v="8"/>
    <n v="5"/>
    <n v="13"/>
    <n v="0"/>
    <n v="1"/>
    <n v="-1"/>
  </r>
  <r>
    <n v="27"/>
    <d v="2024-08-11T00:00:00"/>
    <x v="1"/>
    <n v="4"/>
    <n v="5"/>
    <x v="64"/>
    <n v="7"/>
    <n v="3"/>
    <n v="10"/>
    <n v="0"/>
    <n v="0"/>
    <n v="-1"/>
  </r>
  <r>
    <n v="27"/>
    <d v="2024-08-11T00:00:00"/>
    <x v="1"/>
    <n v="5"/>
    <n v="2"/>
    <x v="54"/>
    <n v="6"/>
    <n v="1"/>
    <n v="7"/>
    <n v="0"/>
    <n v="0"/>
    <n v="3"/>
  </r>
  <r>
    <n v="27"/>
    <d v="2024-08-11T00:00:00"/>
    <x v="1"/>
    <n v="6"/>
    <n v="7"/>
    <x v="66"/>
    <n v="5"/>
    <n v="0"/>
    <n v="5"/>
    <n v="0"/>
    <n v="0"/>
    <n v="-1"/>
  </r>
  <r>
    <n v="27"/>
    <d v="2024-08-11T00:00:00"/>
    <x v="1"/>
    <n v="7"/>
    <n v="9"/>
    <x v="46"/>
    <n v="4"/>
    <n v="0"/>
    <n v="4"/>
    <n v="0"/>
    <n v="0"/>
    <n v="-2"/>
  </r>
  <r>
    <n v="27"/>
    <d v="2024-08-11T00:00:00"/>
    <x v="1"/>
    <n v="8"/>
    <n v="11"/>
    <x v="68"/>
    <n v="3"/>
    <n v="0"/>
    <n v="3"/>
    <n v="0"/>
    <n v="0"/>
    <n v="-3"/>
  </r>
  <r>
    <n v="27"/>
    <d v="2024-08-11T00:00:00"/>
    <x v="1"/>
    <n v="9"/>
    <n v="6"/>
    <x v="47"/>
    <n v="2"/>
    <n v="0"/>
    <n v="2"/>
    <n v="0"/>
    <n v="0"/>
    <n v="3"/>
  </r>
  <r>
    <n v="27"/>
    <d v="2024-08-11T00:00:00"/>
    <x v="1"/>
    <n v="10"/>
    <n v="8"/>
    <x v="55"/>
    <n v="1"/>
    <n v="0"/>
    <n v="1"/>
    <n v="0"/>
    <n v="0"/>
    <n v="2"/>
  </r>
  <r>
    <n v="28"/>
    <d v="2024-08-18T00:00:00"/>
    <x v="0"/>
    <n v="1"/>
    <n v="1"/>
    <x v="61"/>
    <n v="10"/>
    <n v="9"/>
    <n v="19"/>
    <n v="1"/>
    <n v="1"/>
    <n v="0"/>
  </r>
  <r>
    <n v="28"/>
    <d v="2024-08-18T00:00:00"/>
    <x v="0"/>
    <n v="2"/>
    <n v="2"/>
    <x v="51"/>
    <n v="9"/>
    <n v="7"/>
    <n v="16"/>
    <n v="0"/>
    <n v="1"/>
    <n v="0"/>
  </r>
  <r>
    <n v="28"/>
    <d v="2024-08-18T00:00:00"/>
    <x v="0"/>
    <n v="3"/>
    <n v="4"/>
    <x v="57"/>
    <n v="8"/>
    <n v="5"/>
    <n v="13"/>
    <n v="0"/>
    <n v="1"/>
    <n v="-1"/>
  </r>
  <r>
    <n v="28"/>
    <d v="2024-08-18T00:00:00"/>
    <x v="0"/>
    <n v="4"/>
    <n v="3"/>
    <x v="45"/>
    <n v="7"/>
    <n v="3"/>
    <n v="10"/>
    <n v="0"/>
    <n v="0"/>
    <n v="1"/>
  </r>
  <r>
    <n v="28"/>
    <d v="2024-08-18T00:00:00"/>
    <x v="0"/>
    <n v="5"/>
    <n v="5"/>
    <x v="65"/>
    <n v="6"/>
    <n v="1"/>
    <n v="7"/>
    <n v="0"/>
    <n v="0"/>
    <n v="0"/>
  </r>
  <r>
    <n v="28"/>
    <d v="2024-08-18T00:00:00"/>
    <x v="0"/>
    <n v="6"/>
    <n v="7"/>
    <x v="28"/>
    <n v="5"/>
    <n v="0"/>
    <n v="5"/>
    <n v="0"/>
    <n v="0"/>
    <n v="-1"/>
  </r>
  <r>
    <n v="28"/>
    <d v="2024-08-18T00:00:00"/>
    <x v="0"/>
    <n v="7"/>
    <n v="8"/>
    <x v="67"/>
    <n v="4"/>
    <n v="0"/>
    <n v="4"/>
    <n v="0"/>
    <n v="0"/>
    <n v="-1"/>
  </r>
  <r>
    <n v="28"/>
    <d v="2024-08-18T00:00:00"/>
    <x v="0"/>
    <n v="8"/>
    <n v="6"/>
    <x v="8"/>
    <n v="3"/>
    <n v="0"/>
    <n v="3"/>
    <n v="0"/>
    <n v="0"/>
    <n v="2"/>
  </r>
  <r>
    <n v="28"/>
    <d v="2024-08-18T00:00:00"/>
    <x v="0"/>
    <n v="9"/>
    <n v="11"/>
    <x v="69"/>
    <n v="2"/>
    <n v="0"/>
    <n v="2"/>
    <n v="0"/>
    <n v="0"/>
    <n v="-2"/>
  </r>
  <r>
    <n v="28"/>
    <d v="2024-08-18T00:00:00"/>
    <x v="0"/>
    <n v="10"/>
    <n v="9"/>
    <x v="49"/>
    <n v="1"/>
    <n v="0"/>
    <n v="1"/>
    <n v="0"/>
    <n v="0"/>
    <n v="1"/>
  </r>
  <r>
    <n v="28"/>
    <d v="2024-08-18T00:00:00"/>
    <x v="1"/>
    <n v="1"/>
    <n v="1"/>
    <x v="62"/>
    <n v="10"/>
    <n v="9"/>
    <n v="19"/>
    <n v="1"/>
    <n v="1"/>
    <n v="0"/>
  </r>
  <r>
    <n v="28"/>
    <d v="2024-08-18T00:00:00"/>
    <x v="1"/>
    <n v="2"/>
    <n v="2"/>
    <x v="63"/>
    <n v="9"/>
    <n v="7"/>
    <n v="16"/>
    <n v="0"/>
    <n v="1"/>
    <n v="0"/>
  </r>
  <r>
    <n v="28"/>
    <d v="2024-08-18T00:00:00"/>
    <x v="1"/>
    <n v="3"/>
    <n v="4"/>
    <x v="64"/>
    <n v="8"/>
    <n v="5"/>
    <n v="13"/>
    <n v="0"/>
    <n v="1"/>
    <n v="-1"/>
  </r>
  <r>
    <n v="28"/>
    <d v="2024-08-18T00:00:00"/>
    <x v="1"/>
    <n v="4"/>
    <n v="3"/>
    <x v="60"/>
    <n v="7"/>
    <n v="3"/>
    <n v="10"/>
    <n v="0"/>
    <n v="0"/>
    <n v="1"/>
  </r>
  <r>
    <n v="28"/>
    <d v="2024-08-18T00:00:00"/>
    <x v="1"/>
    <n v="5"/>
    <n v="7"/>
    <x v="46"/>
    <n v="6"/>
    <n v="1"/>
    <n v="7"/>
    <n v="0"/>
    <n v="0"/>
    <n v="-2"/>
  </r>
  <r>
    <n v="28"/>
    <d v="2024-08-18T00:00:00"/>
    <x v="1"/>
    <n v="6"/>
    <n v="6"/>
    <x v="66"/>
    <n v="5"/>
    <n v="0"/>
    <n v="5"/>
    <n v="0"/>
    <n v="0"/>
    <n v="0"/>
  </r>
  <r>
    <n v="28"/>
    <d v="2024-08-18T00:00:00"/>
    <x v="1"/>
    <n v="7"/>
    <n v="8"/>
    <x v="68"/>
    <n v="4"/>
    <n v="0"/>
    <n v="4"/>
    <n v="0"/>
    <n v="0"/>
    <n v="-1"/>
  </r>
  <r>
    <n v="28"/>
    <d v="2024-08-18T00:00:00"/>
    <x v="1"/>
    <n v="8"/>
    <n v="5"/>
    <x v="54"/>
    <n v="3"/>
    <n v="0"/>
    <n v="3"/>
    <n v="0"/>
    <n v="0"/>
    <n v="3"/>
  </r>
  <r>
    <n v="28"/>
    <d v="2024-08-18T00:00:00"/>
    <x v="1"/>
    <n v="9"/>
    <n v="11"/>
    <x v="70"/>
    <n v="2"/>
    <n v="0"/>
    <n v="2"/>
    <n v="0"/>
    <n v="0"/>
    <n v="-2"/>
  </r>
  <r>
    <n v="28"/>
    <d v="2024-08-18T00:00:00"/>
    <x v="1"/>
    <n v="10"/>
    <n v="9"/>
    <x v="47"/>
    <n v="1"/>
    <n v="0"/>
    <n v="1"/>
    <n v="0"/>
    <n v="0"/>
    <n v="1"/>
  </r>
  <r>
    <n v="29"/>
    <d v="2024-08-25T00:00:00"/>
    <x v="0"/>
    <n v="1"/>
    <n v="1"/>
    <x v="61"/>
    <n v="10"/>
    <n v="9"/>
    <n v="19"/>
    <n v="1"/>
    <n v="1"/>
    <n v="0"/>
  </r>
  <r>
    <n v="29"/>
    <d v="2024-08-25T00:00:00"/>
    <x v="0"/>
    <n v="2"/>
    <n v="2"/>
    <x v="51"/>
    <n v="9"/>
    <n v="7"/>
    <n v="16"/>
    <n v="0"/>
    <n v="1"/>
    <n v="0"/>
  </r>
  <r>
    <n v="29"/>
    <d v="2024-08-25T00:00:00"/>
    <x v="0"/>
    <n v="3"/>
    <n v="5"/>
    <x v="65"/>
    <n v="8"/>
    <n v="5"/>
    <n v="13"/>
    <n v="0"/>
    <n v="1"/>
    <n v="-2"/>
  </r>
  <r>
    <n v="29"/>
    <d v="2024-08-25T00:00:00"/>
    <x v="0"/>
    <n v="4"/>
    <n v="3"/>
    <x v="57"/>
    <n v="7"/>
    <n v="3"/>
    <n v="10"/>
    <n v="0"/>
    <n v="0"/>
    <n v="1"/>
  </r>
  <r>
    <n v="29"/>
    <d v="2024-08-25T00:00:00"/>
    <x v="0"/>
    <n v="5"/>
    <n v="4"/>
    <x v="45"/>
    <n v="6"/>
    <n v="1"/>
    <n v="7"/>
    <n v="0"/>
    <n v="0"/>
    <n v="1"/>
  </r>
  <r>
    <n v="29"/>
    <d v="2024-08-25T00:00:00"/>
    <x v="0"/>
    <n v="6"/>
    <n v="7"/>
    <x v="67"/>
    <n v="5"/>
    <n v="0"/>
    <n v="5"/>
    <n v="0"/>
    <n v="0"/>
    <n v="-1"/>
  </r>
  <r>
    <n v="29"/>
    <d v="2024-08-25T00:00:00"/>
    <x v="0"/>
    <n v="7"/>
    <n v="9"/>
    <x v="69"/>
    <n v="4"/>
    <n v="0"/>
    <n v="4"/>
    <n v="0"/>
    <n v="0"/>
    <n v="-2"/>
  </r>
  <r>
    <n v="29"/>
    <d v="2024-08-25T00:00:00"/>
    <x v="0"/>
    <n v="8"/>
    <n v="6"/>
    <x v="28"/>
    <n v="3"/>
    <n v="0"/>
    <n v="3"/>
    <n v="0"/>
    <n v="0"/>
    <n v="2"/>
  </r>
  <r>
    <n v="29"/>
    <d v="2024-08-25T00:00:00"/>
    <x v="0"/>
    <n v="9"/>
    <n v="11"/>
    <x v="71"/>
    <n v="2"/>
    <n v="0"/>
    <n v="2"/>
    <n v="0"/>
    <n v="0"/>
    <n v="-2"/>
  </r>
  <r>
    <n v="29"/>
    <d v="2024-08-25T00:00:00"/>
    <x v="0"/>
    <n v="10"/>
    <n v="8"/>
    <x v="8"/>
    <n v="1"/>
    <n v="0"/>
    <n v="1"/>
    <n v="0"/>
    <n v="0"/>
    <n v="2"/>
  </r>
  <r>
    <n v="29"/>
    <d v="2024-08-25T00:00:00"/>
    <x v="1"/>
    <n v="1"/>
    <n v="1"/>
    <x v="62"/>
    <n v="10"/>
    <n v="9"/>
    <n v="19"/>
    <n v="1"/>
    <n v="1"/>
    <n v="0"/>
  </r>
  <r>
    <n v="29"/>
    <d v="2024-08-25T00:00:00"/>
    <x v="1"/>
    <n v="2"/>
    <n v="3"/>
    <x v="64"/>
    <n v="9"/>
    <n v="7"/>
    <n v="16"/>
    <n v="0"/>
    <n v="1"/>
    <n v="-1"/>
  </r>
  <r>
    <n v="29"/>
    <d v="2024-08-25T00:00:00"/>
    <x v="1"/>
    <n v="3"/>
    <n v="5"/>
    <x v="46"/>
    <n v="8"/>
    <n v="5"/>
    <n v="13"/>
    <n v="0"/>
    <n v="1"/>
    <n v="-2"/>
  </r>
  <r>
    <n v="29"/>
    <d v="2024-08-25T00:00:00"/>
    <x v="1"/>
    <n v="4"/>
    <n v="4"/>
    <x v="60"/>
    <n v="7"/>
    <n v="3"/>
    <n v="10"/>
    <n v="0"/>
    <n v="0"/>
    <n v="0"/>
  </r>
  <r>
    <n v="29"/>
    <d v="2024-08-25T00:00:00"/>
    <x v="1"/>
    <n v="5"/>
    <n v="2"/>
    <x v="63"/>
    <n v="6"/>
    <n v="1"/>
    <n v="7"/>
    <n v="0"/>
    <n v="0"/>
    <n v="3"/>
  </r>
  <r>
    <n v="29"/>
    <d v="2024-08-25T00:00:00"/>
    <x v="1"/>
    <n v="6"/>
    <n v="6"/>
    <x v="66"/>
    <n v="5"/>
    <n v="0"/>
    <n v="5"/>
    <n v="0"/>
    <n v="0"/>
    <n v="0"/>
  </r>
  <r>
    <n v="29"/>
    <d v="2024-08-25T00:00:00"/>
    <x v="1"/>
    <n v="7"/>
    <n v="7"/>
    <x v="68"/>
    <n v="4"/>
    <n v="0"/>
    <n v="4"/>
    <n v="0"/>
    <n v="0"/>
    <n v="0"/>
  </r>
  <r>
    <n v="29"/>
    <d v="2024-08-25T00:00:00"/>
    <x v="1"/>
    <n v="8"/>
    <n v="9"/>
    <x v="70"/>
    <n v="3"/>
    <n v="0"/>
    <n v="3"/>
    <n v="0"/>
    <n v="0"/>
    <n v="-1"/>
  </r>
  <r>
    <n v="29"/>
    <d v="2024-08-25T00:00:00"/>
    <x v="1"/>
    <n v="9"/>
    <n v="11"/>
    <x v="72"/>
    <n v="2"/>
    <n v="0"/>
    <n v="2"/>
    <n v="0"/>
    <n v="0"/>
    <n v="-2"/>
  </r>
  <r>
    <n v="29"/>
    <d v="2024-08-25T00:00:00"/>
    <x v="1"/>
    <n v="10"/>
    <n v="11"/>
    <x v="73"/>
    <n v="1"/>
    <n v="0"/>
    <n v="1"/>
    <n v="0"/>
    <n v="0"/>
    <n v="-1"/>
  </r>
  <r>
    <n v="30"/>
    <d v="2024-09-01T00:00:00"/>
    <x v="0"/>
    <n v="1"/>
    <n v="1"/>
    <x v="61"/>
    <n v="10"/>
    <n v="9"/>
    <n v="19"/>
    <n v="1"/>
    <n v="1"/>
    <n v="0"/>
  </r>
  <r>
    <n v="30"/>
    <d v="2024-09-01T00:00:00"/>
    <x v="0"/>
    <n v="2"/>
    <n v="2"/>
    <x v="51"/>
    <n v="9"/>
    <n v="7"/>
    <n v="16"/>
    <n v="0"/>
    <n v="1"/>
    <n v="0"/>
  </r>
  <r>
    <n v="30"/>
    <d v="2024-09-01T00:00:00"/>
    <x v="0"/>
    <n v="3"/>
    <n v="3"/>
    <x v="65"/>
    <n v="8"/>
    <n v="5"/>
    <n v="13"/>
    <n v="0"/>
    <n v="1"/>
    <n v="0"/>
  </r>
  <r>
    <n v="30"/>
    <d v="2024-09-01T00:00:00"/>
    <x v="0"/>
    <n v="4"/>
    <n v="4"/>
    <x v="57"/>
    <n v="7"/>
    <n v="3"/>
    <n v="10"/>
    <n v="0"/>
    <n v="0"/>
    <n v="0"/>
  </r>
  <r>
    <n v="30"/>
    <d v="2024-09-01T00:00:00"/>
    <x v="0"/>
    <n v="5"/>
    <n v="6"/>
    <x v="67"/>
    <n v="6"/>
    <n v="1"/>
    <n v="7"/>
    <n v="0"/>
    <n v="0"/>
    <n v="-1"/>
  </r>
  <r>
    <n v="30"/>
    <d v="2024-09-01T00:00:00"/>
    <x v="0"/>
    <n v="6"/>
    <n v="11"/>
    <x v="74"/>
    <n v="5"/>
    <n v="0"/>
    <n v="5"/>
    <n v="0"/>
    <n v="0"/>
    <n v="-5"/>
  </r>
  <r>
    <n v="30"/>
    <d v="2024-09-01T00:00:00"/>
    <x v="0"/>
    <n v="7"/>
    <n v="7"/>
    <x v="69"/>
    <n v="4"/>
    <n v="0"/>
    <n v="4"/>
    <n v="0"/>
    <n v="0"/>
    <n v="0"/>
  </r>
  <r>
    <n v="30"/>
    <d v="2024-09-01T00:00:00"/>
    <x v="0"/>
    <n v="8"/>
    <n v="5"/>
    <x v="45"/>
    <n v="3"/>
    <n v="0"/>
    <n v="3"/>
    <n v="0"/>
    <n v="0"/>
    <n v="3"/>
  </r>
  <r>
    <n v="30"/>
    <d v="2024-09-01T00:00:00"/>
    <x v="0"/>
    <n v="9"/>
    <n v="9"/>
    <x v="71"/>
    <n v="2"/>
    <n v="0"/>
    <n v="2"/>
    <n v="0"/>
    <n v="0"/>
    <n v="0"/>
  </r>
  <r>
    <n v="30"/>
    <d v="2024-09-01T00:00:00"/>
    <x v="0"/>
    <n v="10"/>
    <n v="8"/>
    <x v="28"/>
    <n v="1"/>
    <n v="0"/>
    <n v="1"/>
    <n v="0"/>
    <n v="0"/>
    <n v="2"/>
  </r>
  <r>
    <n v="30"/>
    <d v="2024-09-01T00:00:00"/>
    <x v="1"/>
    <n v="1"/>
    <n v="2"/>
    <x v="64"/>
    <n v="10"/>
    <n v="9"/>
    <n v="19"/>
    <n v="1"/>
    <n v="1"/>
    <n v="-1"/>
  </r>
  <r>
    <n v="30"/>
    <d v="2024-09-01T00:00:00"/>
    <x v="1"/>
    <n v="2"/>
    <n v="1"/>
    <x v="62"/>
    <n v="9"/>
    <n v="7"/>
    <n v="16"/>
    <n v="0"/>
    <n v="1"/>
    <n v="1"/>
  </r>
  <r>
    <n v="30"/>
    <d v="2024-09-01T00:00:00"/>
    <x v="1"/>
    <n v="3"/>
    <n v="3"/>
    <x v="46"/>
    <n v="8"/>
    <n v="5"/>
    <n v="13"/>
    <n v="0"/>
    <n v="1"/>
    <n v="0"/>
  </r>
  <r>
    <n v="30"/>
    <d v="2024-09-01T00:00:00"/>
    <x v="1"/>
    <n v="4"/>
    <n v="6"/>
    <x v="66"/>
    <n v="7"/>
    <n v="3"/>
    <n v="10"/>
    <n v="0"/>
    <n v="0"/>
    <n v="-2"/>
  </r>
  <r>
    <n v="30"/>
    <d v="2024-09-01T00:00:00"/>
    <x v="1"/>
    <n v="5"/>
    <n v="9"/>
    <x v="72"/>
    <n v="6"/>
    <n v="1"/>
    <n v="7"/>
    <n v="0"/>
    <n v="0"/>
    <n v="-4"/>
  </r>
  <r>
    <n v="30"/>
    <d v="2024-09-01T00:00:00"/>
    <x v="1"/>
    <n v="6"/>
    <n v="7"/>
    <x v="68"/>
    <n v="5"/>
    <n v="0"/>
    <n v="5"/>
    <n v="0"/>
    <n v="0"/>
    <n v="-1"/>
  </r>
  <r>
    <n v="30"/>
    <d v="2024-09-01T00:00:00"/>
    <x v="1"/>
    <n v="7"/>
    <n v="8"/>
    <x v="70"/>
    <n v="4"/>
    <n v="0"/>
    <n v="4"/>
    <n v="0"/>
    <n v="0"/>
    <n v="-1"/>
  </r>
  <r>
    <n v="30"/>
    <d v="2024-09-01T00:00:00"/>
    <x v="1"/>
    <n v="8"/>
    <n v="4"/>
    <x v="60"/>
    <n v="3"/>
    <n v="0"/>
    <n v="3"/>
    <n v="0"/>
    <n v="0"/>
    <n v="4"/>
  </r>
  <r>
    <n v="30"/>
    <d v="2024-09-01T00:00:00"/>
    <x v="1"/>
    <n v="9"/>
    <n v="5"/>
    <x v="63"/>
    <n v="2"/>
    <n v="0"/>
    <n v="2"/>
    <n v="0"/>
    <n v="0"/>
    <n v="4"/>
  </r>
  <r>
    <n v="30"/>
    <d v="2024-09-01T00:00:00"/>
    <x v="1"/>
    <n v="10"/>
    <n v="10"/>
    <x v="73"/>
    <n v="1"/>
    <n v="0"/>
    <n v="1"/>
    <n v="0"/>
    <n v="0"/>
    <n v="0"/>
  </r>
  <r>
    <n v="31"/>
    <d v="2024-09-08T00:00:00"/>
    <x v="0"/>
    <n v="1"/>
    <n v="2"/>
    <x v="51"/>
    <n v="10"/>
    <n v="9"/>
    <n v="19"/>
    <n v="1"/>
    <n v="1"/>
    <n v="-1"/>
  </r>
  <r>
    <n v="31"/>
    <d v="2024-09-08T00:00:00"/>
    <x v="0"/>
    <n v="2"/>
    <n v="1"/>
    <x v="61"/>
    <n v="9"/>
    <n v="7"/>
    <n v="16"/>
    <n v="0"/>
    <n v="1"/>
    <n v="1"/>
  </r>
  <r>
    <n v="31"/>
    <d v="2024-09-08T00:00:00"/>
    <x v="0"/>
    <n v="3"/>
    <n v="3"/>
    <x v="65"/>
    <n v="8"/>
    <n v="5"/>
    <n v="13"/>
    <n v="0"/>
    <n v="1"/>
    <n v="0"/>
  </r>
  <r>
    <n v="31"/>
    <d v="2024-09-08T00:00:00"/>
    <x v="0"/>
    <n v="4"/>
    <n v="5"/>
    <x v="67"/>
    <n v="7"/>
    <n v="3"/>
    <n v="10"/>
    <n v="0"/>
    <n v="0"/>
    <n v="-1"/>
  </r>
  <r>
    <n v="31"/>
    <d v="2024-09-08T00:00:00"/>
    <x v="0"/>
    <n v="5"/>
    <n v="7"/>
    <x v="69"/>
    <n v="6"/>
    <n v="1"/>
    <n v="7"/>
    <n v="0"/>
    <n v="0"/>
    <n v="-2"/>
  </r>
  <r>
    <n v="31"/>
    <d v="2024-09-08T00:00:00"/>
    <x v="0"/>
    <n v="6"/>
    <n v="4"/>
    <x v="57"/>
    <n v="5"/>
    <n v="0"/>
    <n v="5"/>
    <n v="0"/>
    <n v="0"/>
    <n v="2"/>
  </r>
  <r>
    <n v="31"/>
    <d v="2024-09-08T00:00:00"/>
    <x v="0"/>
    <n v="7"/>
    <n v="6"/>
    <x v="74"/>
    <n v="4"/>
    <n v="0"/>
    <n v="4"/>
    <n v="0"/>
    <n v="0"/>
    <n v="1"/>
  </r>
  <r>
    <n v="31"/>
    <d v="2024-09-08T00:00:00"/>
    <x v="0"/>
    <n v="8"/>
    <n v="9"/>
    <x v="71"/>
    <n v="3"/>
    <n v="0"/>
    <n v="3"/>
    <n v="0"/>
    <n v="0"/>
    <n v="-1"/>
  </r>
  <r>
    <n v="31"/>
    <d v="2024-09-08T00:00:00"/>
    <x v="0"/>
    <n v="9"/>
    <n v="8"/>
    <x v="45"/>
    <n v="2"/>
    <n v="0"/>
    <n v="2"/>
    <n v="0"/>
    <n v="0"/>
    <n v="1"/>
  </r>
  <r>
    <n v="31"/>
    <d v="2024-09-08T00:00:00"/>
    <x v="0"/>
    <n v="10"/>
    <n v="10"/>
    <x v="28"/>
    <n v="1"/>
    <n v="0"/>
    <n v="1"/>
    <n v="0"/>
    <n v="0"/>
    <n v="0"/>
  </r>
  <r>
    <n v="31"/>
    <d v="2024-09-08T00:00:00"/>
    <x v="1"/>
    <n v="1"/>
    <n v="1"/>
    <x v="64"/>
    <n v="10"/>
    <n v="9"/>
    <n v="19"/>
    <n v="1"/>
    <n v="1"/>
    <n v="0"/>
  </r>
  <r>
    <n v="31"/>
    <d v="2024-09-08T00:00:00"/>
    <x v="1"/>
    <n v="2"/>
    <n v="2"/>
    <x v="62"/>
    <n v="9"/>
    <n v="7"/>
    <n v="16"/>
    <n v="0"/>
    <n v="1"/>
    <n v="0"/>
  </r>
  <r>
    <n v="31"/>
    <d v="2024-09-08T00:00:00"/>
    <x v="1"/>
    <n v="3"/>
    <n v="4"/>
    <x v="66"/>
    <n v="8"/>
    <n v="5"/>
    <n v="13"/>
    <n v="0"/>
    <n v="1"/>
    <n v="-1"/>
  </r>
  <r>
    <n v="31"/>
    <d v="2024-09-08T00:00:00"/>
    <x v="1"/>
    <n v="4"/>
    <n v="3"/>
    <x v="46"/>
    <n v="7"/>
    <n v="3"/>
    <n v="10"/>
    <n v="0"/>
    <n v="0"/>
    <n v="1"/>
  </r>
  <r>
    <n v="31"/>
    <d v="2024-09-08T00:00:00"/>
    <x v="1"/>
    <n v="5"/>
    <n v="6"/>
    <x v="68"/>
    <n v="6"/>
    <n v="1"/>
    <n v="7"/>
    <n v="0"/>
    <n v="0"/>
    <n v="-1"/>
  </r>
  <r>
    <n v="31"/>
    <d v="2024-09-08T00:00:00"/>
    <x v="1"/>
    <n v="6"/>
    <n v="5"/>
    <x v="72"/>
    <n v="5"/>
    <n v="0"/>
    <n v="5"/>
    <n v="0"/>
    <n v="0"/>
    <n v="1"/>
  </r>
  <r>
    <n v="31"/>
    <d v="2024-09-08T00:00:00"/>
    <x v="1"/>
    <n v="7"/>
    <n v="7"/>
    <x v="70"/>
    <n v="4"/>
    <n v="0"/>
    <n v="4"/>
    <n v="0"/>
    <n v="0"/>
    <n v="0"/>
  </r>
  <r>
    <n v="31"/>
    <d v="2024-09-08T00:00:00"/>
    <x v="1"/>
    <n v="8"/>
    <n v="11"/>
    <x v="75"/>
    <n v="3"/>
    <n v="0"/>
    <n v="3"/>
    <n v="0"/>
    <n v="0"/>
    <n v="-3"/>
  </r>
  <r>
    <n v="31"/>
    <d v="2024-09-08T00:00:00"/>
    <x v="1"/>
    <n v="9"/>
    <n v="8"/>
    <x v="60"/>
    <n v="2"/>
    <n v="0"/>
    <n v="2"/>
    <n v="0"/>
    <n v="0"/>
    <n v="1"/>
  </r>
  <r>
    <n v="31"/>
    <d v="2024-09-08T00:00:00"/>
    <x v="1"/>
    <n v="10"/>
    <n v="11"/>
    <x v="76"/>
    <n v="1"/>
    <n v="0"/>
    <n v="1"/>
    <n v="0"/>
    <n v="0"/>
    <n v="-1"/>
  </r>
  <r>
    <n v="32"/>
    <d v="2024-09-22T00:00:00"/>
    <x v="0"/>
    <n v="1"/>
    <n v="1"/>
    <x v="51"/>
    <n v="10"/>
    <n v="9"/>
    <n v="19"/>
    <n v="1"/>
    <n v="1"/>
    <n v="0"/>
  </r>
  <r>
    <n v="32"/>
    <d v="2024-09-22T00:00:00"/>
    <x v="0"/>
    <n v="2"/>
    <n v="2"/>
    <x v="61"/>
    <n v="9"/>
    <n v="7"/>
    <n v="16"/>
    <n v="0"/>
    <n v="1"/>
    <n v="0"/>
  </r>
  <r>
    <n v="32"/>
    <d v="2024-09-22T00:00:00"/>
    <x v="0"/>
    <n v="3"/>
    <n v="3"/>
    <x v="65"/>
    <n v="8"/>
    <n v="5"/>
    <n v="13"/>
    <n v="0"/>
    <n v="1"/>
    <n v="0"/>
  </r>
  <r>
    <n v="32"/>
    <d v="2024-09-22T00:00:00"/>
    <x v="0"/>
    <n v="4"/>
    <n v="5"/>
    <x v="69"/>
    <n v="7"/>
    <n v="3"/>
    <n v="10"/>
    <n v="0"/>
    <n v="0"/>
    <n v="-1"/>
  </r>
  <r>
    <n v="32"/>
    <d v="2024-09-22T00:00:00"/>
    <x v="0"/>
    <n v="5"/>
    <n v="4"/>
    <x v="67"/>
    <n v="6"/>
    <n v="1"/>
    <n v="7"/>
    <n v="0"/>
    <n v="0"/>
    <n v="1"/>
  </r>
  <r>
    <n v="32"/>
    <d v="2024-09-22T00:00:00"/>
    <x v="0"/>
    <n v="6"/>
    <n v="7"/>
    <x v="74"/>
    <n v="5"/>
    <n v="0"/>
    <n v="5"/>
    <n v="0"/>
    <n v="0"/>
    <n v="-1"/>
  </r>
  <r>
    <n v="32"/>
    <d v="2024-09-22T00:00:00"/>
    <x v="0"/>
    <n v="7"/>
    <n v="6"/>
    <x v="57"/>
    <n v="4"/>
    <n v="0"/>
    <n v="4"/>
    <n v="0"/>
    <n v="0"/>
    <n v="1"/>
  </r>
  <r>
    <n v="32"/>
    <d v="2024-09-22T00:00:00"/>
    <x v="0"/>
    <n v="8"/>
    <n v="8"/>
    <x v="71"/>
    <n v="3"/>
    <n v="0"/>
    <n v="3"/>
    <n v="0"/>
    <n v="0"/>
    <n v="0"/>
  </r>
  <r>
    <n v="32"/>
    <d v="2024-09-22T00:00:00"/>
    <x v="0"/>
    <n v="9"/>
    <n v="9"/>
    <x v="45"/>
    <n v="2"/>
    <n v="0"/>
    <n v="2"/>
    <n v="0"/>
    <n v="0"/>
    <n v="0"/>
  </r>
  <r>
    <n v="32"/>
    <d v="2024-09-22T00:00:00"/>
    <x v="0"/>
    <n v="10"/>
    <n v="10"/>
    <x v="28"/>
    <n v="1"/>
    <n v="0"/>
    <n v="1"/>
    <n v="0"/>
    <n v="0"/>
    <n v="0"/>
  </r>
  <r>
    <n v="32"/>
    <d v="2024-09-22T00:00:00"/>
    <x v="1"/>
    <n v="1"/>
    <n v="1"/>
    <x v="64"/>
    <n v="10"/>
    <n v="9"/>
    <n v="19"/>
    <n v="1"/>
    <n v="1"/>
    <n v="0"/>
  </r>
  <r>
    <n v="32"/>
    <d v="2024-09-22T00:00:00"/>
    <x v="1"/>
    <n v="2"/>
    <n v="3"/>
    <x v="66"/>
    <n v="9"/>
    <n v="7"/>
    <n v="16"/>
    <n v="0"/>
    <n v="1"/>
    <n v="-1"/>
  </r>
  <r>
    <n v="32"/>
    <d v="2024-09-22T00:00:00"/>
    <x v="1"/>
    <n v="3"/>
    <n v="2"/>
    <x v="62"/>
    <n v="8"/>
    <n v="5"/>
    <n v="13"/>
    <n v="0"/>
    <n v="1"/>
    <n v="1"/>
  </r>
  <r>
    <n v="32"/>
    <d v="2024-09-22T00:00:00"/>
    <x v="1"/>
    <n v="4"/>
    <n v="4"/>
    <x v="46"/>
    <n v="7"/>
    <n v="3"/>
    <n v="10"/>
    <n v="0"/>
    <n v="0"/>
    <n v="0"/>
  </r>
  <r>
    <n v="32"/>
    <d v="2024-09-22T00:00:00"/>
    <x v="1"/>
    <n v="5"/>
    <n v="5"/>
    <x v="68"/>
    <n v="6"/>
    <n v="1"/>
    <n v="7"/>
    <n v="0"/>
    <n v="0"/>
    <n v="0"/>
  </r>
  <r>
    <n v="32"/>
    <d v="2024-09-22T00:00:00"/>
    <x v="1"/>
    <n v="6"/>
    <n v="7"/>
    <x v="70"/>
    <n v="5"/>
    <n v="0"/>
    <n v="5"/>
    <n v="0"/>
    <n v="0"/>
    <n v="-1"/>
  </r>
  <r>
    <n v="32"/>
    <d v="2024-09-22T00:00:00"/>
    <x v="1"/>
    <n v="7"/>
    <n v="8"/>
    <x v="75"/>
    <n v="4"/>
    <n v="0"/>
    <n v="4"/>
    <n v="0"/>
    <n v="0"/>
    <n v="-1"/>
  </r>
  <r>
    <n v="32"/>
    <d v="2024-09-22T00:00:00"/>
    <x v="1"/>
    <n v="8"/>
    <n v="6"/>
    <x v="72"/>
    <n v="3"/>
    <n v="0"/>
    <n v="3"/>
    <n v="0"/>
    <n v="0"/>
    <n v="2"/>
  </r>
  <r>
    <n v="32"/>
    <d v="2024-09-22T00:00:00"/>
    <x v="1"/>
    <n v="9"/>
    <n v="10"/>
    <x v="76"/>
    <n v="2"/>
    <n v="0"/>
    <n v="2"/>
    <n v="0"/>
    <n v="0"/>
    <n v="-1"/>
  </r>
  <r>
    <n v="32"/>
    <d v="2024-09-22T00:00:00"/>
    <x v="1"/>
    <n v="10"/>
    <n v="9"/>
    <x v="60"/>
    <n v="1"/>
    <n v="0"/>
    <n v="1"/>
    <n v="0"/>
    <n v="0"/>
    <n v="1"/>
  </r>
  <r>
    <n v="33"/>
    <d v="2024-10-06T00:00:00"/>
    <x v="0"/>
    <n v="1"/>
    <n v="1"/>
    <x v="51"/>
    <n v="10"/>
    <n v="9"/>
    <n v="19"/>
    <n v="1"/>
    <n v="1"/>
    <n v="0"/>
  </r>
  <r>
    <n v="33"/>
    <d v="2024-10-06T00:00:00"/>
    <x v="0"/>
    <n v="2"/>
    <n v="2"/>
    <x v="61"/>
    <n v="9"/>
    <n v="7"/>
    <n v="16"/>
    <n v="0"/>
    <n v="1"/>
    <n v="0"/>
  </r>
  <r>
    <n v="33"/>
    <d v="2024-10-06T00:00:00"/>
    <x v="0"/>
    <n v="3"/>
    <n v="4"/>
    <x v="69"/>
    <n v="8"/>
    <n v="5"/>
    <n v="13"/>
    <n v="0"/>
    <n v="1"/>
    <n v="-1"/>
  </r>
  <r>
    <n v="33"/>
    <d v="2024-10-06T00:00:00"/>
    <x v="0"/>
    <n v="4"/>
    <n v="3"/>
    <x v="65"/>
    <n v="7"/>
    <n v="3"/>
    <n v="10"/>
    <n v="0"/>
    <n v="0"/>
    <n v="1"/>
  </r>
  <r>
    <n v="33"/>
    <d v="2024-10-06T00:00:00"/>
    <x v="0"/>
    <n v="5"/>
    <n v="11"/>
    <x v="34"/>
    <n v="6"/>
    <n v="1"/>
    <n v="7"/>
    <n v="0"/>
    <n v="0"/>
    <n v="-6"/>
  </r>
  <r>
    <n v="33"/>
    <d v="2024-10-06T00:00:00"/>
    <x v="0"/>
    <n v="6"/>
    <n v="6"/>
    <x v="74"/>
    <n v="5"/>
    <n v="0"/>
    <n v="5"/>
    <n v="0"/>
    <n v="0"/>
    <n v="0"/>
  </r>
  <r>
    <n v="33"/>
    <d v="2024-10-06T00:00:00"/>
    <x v="0"/>
    <n v="7"/>
    <n v="7"/>
    <x v="57"/>
    <n v="4"/>
    <n v="0"/>
    <n v="4"/>
    <n v="0"/>
    <n v="0"/>
    <n v="0"/>
  </r>
  <r>
    <n v="33"/>
    <d v="2024-10-06T00:00:00"/>
    <x v="0"/>
    <n v="8"/>
    <n v="8"/>
    <x v="71"/>
    <n v="3"/>
    <n v="0"/>
    <n v="3"/>
    <n v="0"/>
    <n v="0"/>
    <n v="0"/>
  </r>
  <r>
    <n v="33"/>
    <d v="2024-10-06T00:00:00"/>
    <x v="0"/>
    <n v="9"/>
    <n v="5"/>
    <x v="67"/>
    <n v="2"/>
    <n v="0"/>
    <n v="2"/>
    <n v="0"/>
    <n v="0"/>
    <n v="4"/>
  </r>
  <r>
    <n v="33"/>
    <d v="2024-10-06T00:00:00"/>
    <x v="0"/>
    <n v="10"/>
    <n v="9"/>
    <x v="45"/>
    <n v="1"/>
    <n v="0"/>
    <n v="1"/>
    <n v="0"/>
    <n v="0"/>
    <n v="1"/>
  </r>
  <r>
    <n v="33"/>
    <d v="2024-10-06T00:00:00"/>
    <x v="1"/>
    <n v="1"/>
    <n v="1"/>
    <x v="64"/>
    <n v="10"/>
    <n v="9"/>
    <n v="19"/>
    <n v="1"/>
    <n v="1"/>
    <n v="0"/>
  </r>
  <r>
    <n v="33"/>
    <d v="2024-10-06T00:00:00"/>
    <x v="1"/>
    <n v="2"/>
    <n v="2"/>
    <x v="66"/>
    <n v="9"/>
    <n v="7"/>
    <n v="16"/>
    <n v="0"/>
    <n v="1"/>
    <n v="0"/>
  </r>
  <r>
    <n v="33"/>
    <d v="2024-10-06T00:00:00"/>
    <x v="1"/>
    <n v="3"/>
    <n v="3"/>
    <x v="62"/>
    <n v="8"/>
    <n v="5"/>
    <n v="13"/>
    <n v="0"/>
    <n v="1"/>
    <n v="0"/>
  </r>
  <r>
    <n v="33"/>
    <d v="2024-10-06T00:00:00"/>
    <x v="1"/>
    <n v="4"/>
    <n v="7"/>
    <x v="75"/>
    <n v="7"/>
    <n v="3"/>
    <n v="10"/>
    <n v="0"/>
    <n v="0"/>
    <n v="-3"/>
  </r>
  <r>
    <n v="33"/>
    <d v="2024-10-06T00:00:00"/>
    <x v="1"/>
    <n v="5"/>
    <n v="4"/>
    <x v="46"/>
    <n v="6"/>
    <n v="1"/>
    <n v="7"/>
    <n v="0"/>
    <n v="0"/>
    <n v="1"/>
  </r>
  <r>
    <n v="33"/>
    <d v="2024-10-06T00:00:00"/>
    <x v="1"/>
    <n v="6"/>
    <n v="9"/>
    <x v="76"/>
    <n v="5"/>
    <n v="0"/>
    <n v="5"/>
    <n v="0"/>
    <n v="0"/>
    <n v="-3"/>
  </r>
  <r>
    <n v="33"/>
    <d v="2024-10-06T00:00:00"/>
    <x v="1"/>
    <n v="7"/>
    <n v="11"/>
    <x v="77"/>
    <n v="4"/>
    <n v="0"/>
    <n v="4"/>
    <n v="0"/>
    <n v="0"/>
    <n v="-4"/>
  </r>
  <r>
    <n v="33"/>
    <d v="2024-10-06T00:00:00"/>
    <x v="1"/>
    <n v="8"/>
    <n v="5"/>
    <x v="68"/>
    <n v="3"/>
    <n v="0"/>
    <n v="3"/>
    <n v="0"/>
    <n v="0"/>
    <n v="3"/>
  </r>
  <r>
    <n v="33"/>
    <d v="2024-10-06T00:00:00"/>
    <x v="1"/>
    <n v="9"/>
    <n v="6"/>
    <x v="70"/>
    <n v="2"/>
    <n v="0"/>
    <n v="2"/>
    <n v="0"/>
    <n v="0"/>
    <n v="3"/>
  </r>
  <r>
    <n v="33"/>
    <d v="2024-10-06T00:00:00"/>
    <x v="1"/>
    <n v="10"/>
    <n v="8"/>
    <x v="72"/>
    <n v="1"/>
    <n v="0"/>
    <n v="1"/>
    <n v="0"/>
    <n v="0"/>
    <n v="2"/>
  </r>
  <r>
    <n v="34"/>
    <d v="2024-11-03T00:00:00"/>
    <x v="0"/>
    <n v="1"/>
    <n v="1"/>
    <x v="51"/>
    <n v="10"/>
    <n v="9"/>
    <n v="19"/>
    <n v="1"/>
    <n v="1"/>
    <n v="0"/>
  </r>
  <r>
    <n v="34"/>
    <d v="2024-11-03T00:00:00"/>
    <x v="0"/>
    <n v="2"/>
    <n v="2"/>
    <x v="61"/>
    <n v="9"/>
    <n v="7"/>
    <n v="16"/>
    <n v="0"/>
    <n v="1"/>
    <n v="0"/>
  </r>
  <r>
    <n v="34"/>
    <d v="2024-11-03T00:00:00"/>
    <x v="0"/>
    <n v="3"/>
    <n v="3"/>
    <x v="69"/>
    <n v="8"/>
    <n v="5"/>
    <n v="13"/>
    <n v="0"/>
    <n v="1"/>
    <n v="0"/>
  </r>
  <r>
    <n v="34"/>
    <d v="2024-11-03T00:00:00"/>
    <x v="0"/>
    <n v="4"/>
    <n v="5"/>
    <x v="34"/>
    <n v="7"/>
    <n v="3"/>
    <n v="10"/>
    <n v="0"/>
    <n v="0"/>
    <n v="-1"/>
  </r>
  <r>
    <n v="34"/>
    <d v="2024-11-03T00:00:00"/>
    <x v="0"/>
    <n v="5"/>
    <n v="4"/>
    <x v="65"/>
    <n v="6"/>
    <n v="1"/>
    <n v="7"/>
    <n v="0"/>
    <n v="0"/>
    <n v="1"/>
  </r>
  <r>
    <n v="34"/>
    <d v="2024-11-03T00:00:00"/>
    <x v="0"/>
    <n v="6"/>
    <n v="6"/>
    <x v="74"/>
    <n v="5"/>
    <n v="0"/>
    <n v="5"/>
    <n v="0"/>
    <n v="0"/>
    <n v="0"/>
  </r>
  <r>
    <n v="34"/>
    <d v="2024-11-03T00:00:00"/>
    <x v="0"/>
    <n v="7"/>
    <n v="8"/>
    <x v="71"/>
    <n v="4"/>
    <n v="0"/>
    <n v="4"/>
    <n v="0"/>
    <n v="0"/>
    <n v="-1"/>
  </r>
  <r>
    <n v="34"/>
    <d v="2024-11-03T00:00:00"/>
    <x v="0"/>
    <n v="8"/>
    <n v="7"/>
    <x v="57"/>
    <n v="3"/>
    <n v="0"/>
    <n v="3"/>
    <n v="0"/>
    <n v="0"/>
    <n v="1"/>
  </r>
  <r>
    <n v="34"/>
    <d v="2024-11-03T00:00:00"/>
    <x v="0"/>
    <n v="9"/>
    <n v="9"/>
    <x v="67"/>
    <n v="2"/>
    <n v="0"/>
    <n v="2"/>
    <n v="0"/>
    <n v="0"/>
    <n v="0"/>
  </r>
  <r>
    <n v="34"/>
    <d v="2024-11-03T00:00:00"/>
    <x v="0"/>
    <n v="10"/>
    <n v="11"/>
    <x v="78"/>
    <n v="1"/>
    <n v="0"/>
    <n v="1"/>
    <n v="0"/>
    <n v="0"/>
    <n v="-1"/>
  </r>
  <r>
    <n v="34"/>
    <d v="2024-11-03T00:00:00"/>
    <x v="1"/>
    <n v="1"/>
    <n v="2"/>
    <x v="66"/>
    <n v="10"/>
    <n v="9"/>
    <n v="19"/>
    <n v="1"/>
    <n v="1"/>
    <n v="-1"/>
  </r>
  <r>
    <n v="34"/>
    <d v="2024-11-03T00:00:00"/>
    <x v="1"/>
    <n v="2"/>
    <n v="1"/>
    <x v="64"/>
    <n v="9"/>
    <n v="7"/>
    <n v="16"/>
    <n v="0"/>
    <n v="1"/>
    <n v="1"/>
  </r>
  <r>
    <n v="34"/>
    <d v="2024-11-03T00:00:00"/>
    <x v="1"/>
    <n v="3"/>
    <n v="4"/>
    <x v="75"/>
    <n v="8"/>
    <n v="5"/>
    <n v="13"/>
    <n v="0"/>
    <n v="1"/>
    <n v="-1"/>
  </r>
  <r>
    <n v="34"/>
    <d v="2024-11-03T00:00:00"/>
    <x v="1"/>
    <n v="4"/>
    <n v="3"/>
    <x v="62"/>
    <n v="7"/>
    <n v="3"/>
    <n v="10"/>
    <n v="0"/>
    <n v="0"/>
    <n v="1"/>
  </r>
  <r>
    <n v="34"/>
    <d v="2024-11-03T00:00:00"/>
    <x v="1"/>
    <n v="5"/>
    <n v="6"/>
    <x v="76"/>
    <n v="6"/>
    <n v="1"/>
    <n v="7"/>
    <n v="0"/>
    <n v="0"/>
    <n v="-1"/>
  </r>
  <r>
    <n v="34"/>
    <d v="2024-11-03T00:00:00"/>
    <x v="1"/>
    <n v="6"/>
    <n v="7"/>
    <x v="77"/>
    <n v="5"/>
    <n v="0"/>
    <n v="5"/>
    <n v="0"/>
    <n v="0"/>
    <n v="-1"/>
  </r>
  <r>
    <n v="34"/>
    <d v="2024-11-03T00:00:00"/>
    <x v="1"/>
    <n v="7"/>
    <n v="5"/>
    <x v="46"/>
    <n v="4"/>
    <n v="0"/>
    <n v="4"/>
    <n v="0"/>
    <n v="0"/>
    <n v="2"/>
  </r>
  <r>
    <n v="34"/>
    <d v="2024-11-03T00:00:00"/>
    <x v="1"/>
    <n v="8"/>
    <n v="11"/>
    <x v="79"/>
    <n v="3"/>
    <n v="0"/>
    <n v="3"/>
    <n v="0"/>
    <n v="0"/>
    <n v="-3"/>
  </r>
  <r>
    <n v="34"/>
    <d v="2024-11-03T00:00:00"/>
    <x v="1"/>
    <n v="9"/>
    <n v="9"/>
    <x v="70"/>
    <n v="2"/>
    <n v="0"/>
    <n v="2"/>
    <n v="0"/>
    <n v="0"/>
    <n v="0"/>
  </r>
  <r>
    <n v="34"/>
    <d v="2024-11-03T00:00:00"/>
    <x v="1"/>
    <n v="10"/>
    <n v="8"/>
    <x v="68"/>
    <n v="1"/>
    <n v="0"/>
    <n v="1"/>
    <n v="0"/>
    <n v="0"/>
    <n v="2"/>
  </r>
  <r>
    <n v="35"/>
    <d v="2024-11-10T00:00:00"/>
    <x v="0"/>
    <n v="1"/>
    <n v="2"/>
    <x v="61"/>
    <n v="10"/>
    <n v="9"/>
    <n v="19"/>
    <n v="1"/>
    <n v="1"/>
    <n v="-1"/>
  </r>
  <r>
    <n v="35"/>
    <d v="2024-11-10T00:00:00"/>
    <x v="0"/>
    <n v="2"/>
    <n v="1"/>
    <x v="51"/>
    <n v="9"/>
    <n v="7"/>
    <n v="16"/>
    <n v="0"/>
    <n v="1"/>
    <n v="1"/>
  </r>
  <r>
    <n v="35"/>
    <d v="2024-11-10T00:00:00"/>
    <x v="0"/>
    <n v="3"/>
    <n v="4"/>
    <x v="34"/>
    <n v="8"/>
    <n v="5"/>
    <n v="13"/>
    <n v="0"/>
    <n v="1"/>
    <n v="-1"/>
  </r>
  <r>
    <n v="35"/>
    <d v="2024-11-10T00:00:00"/>
    <x v="0"/>
    <n v="4"/>
    <n v="3"/>
    <x v="69"/>
    <n v="7"/>
    <n v="3"/>
    <n v="10"/>
    <n v="0"/>
    <n v="0"/>
    <n v="1"/>
  </r>
  <r>
    <n v="35"/>
    <d v="2024-11-10T00:00:00"/>
    <x v="0"/>
    <n v="5"/>
    <n v="6"/>
    <x v="74"/>
    <n v="6"/>
    <n v="1"/>
    <n v="7"/>
    <n v="0"/>
    <n v="0"/>
    <n v="-1"/>
  </r>
  <r>
    <n v="35"/>
    <d v="2024-11-10T00:00:00"/>
    <x v="0"/>
    <n v="6"/>
    <n v="7"/>
    <x v="71"/>
    <n v="5"/>
    <n v="0"/>
    <n v="5"/>
    <n v="0"/>
    <n v="0"/>
    <n v="-1"/>
  </r>
  <r>
    <n v="35"/>
    <d v="2024-11-10T00:00:00"/>
    <x v="0"/>
    <n v="7"/>
    <n v="5"/>
    <x v="65"/>
    <n v="4"/>
    <n v="0"/>
    <n v="4"/>
    <n v="0"/>
    <n v="0"/>
    <n v="2"/>
  </r>
  <r>
    <n v="35"/>
    <d v="2024-11-10T00:00:00"/>
    <x v="0"/>
    <n v="8"/>
    <n v="10"/>
    <x v="78"/>
    <n v="3"/>
    <n v="0"/>
    <n v="3"/>
    <n v="0"/>
    <n v="0"/>
    <n v="-2"/>
  </r>
  <r>
    <n v="35"/>
    <d v="2024-11-10T00:00:00"/>
    <x v="0"/>
    <n v="9"/>
    <n v="8"/>
    <x v="57"/>
    <n v="2"/>
    <n v="0"/>
    <n v="2"/>
    <n v="0"/>
    <n v="0"/>
    <n v="1"/>
  </r>
  <r>
    <n v="35"/>
    <d v="2024-11-10T00:00:00"/>
    <x v="0"/>
    <n v="10"/>
    <n v="9"/>
    <x v="67"/>
    <n v="1"/>
    <n v="0"/>
    <n v="1"/>
    <n v="0"/>
    <n v="0"/>
    <n v="1"/>
  </r>
  <r>
    <n v="35"/>
    <d v="2024-11-10T00:00:00"/>
    <x v="1"/>
    <n v="1"/>
    <n v="1"/>
    <x v="66"/>
    <n v="10"/>
    <n v="9"/>
    <n v="19"/>
    <n v="1"/>
    <n v="1"/>
    <n v="0"/>
  </r>
  <r>
    <n v="35"/>
    <d v="2024-11-10T00:00:00"/>
    <x v="1"/>
    <n v="2"/>
    <n v="3"/>
    <x v="75"/>
    <n v="9"/>
    <n v="7"/>
    <n v="16"/>
    <n v="0"/>
    <n v="1"/>
    <n v="-1"/>
  </r>
  <r>
    <n v="35"/>
    <d v="2024-11-10T00:00:00"/>
    <x v="1"/>
    <n v="3"/>
    <n v="2"/>
    <x v="64"/>
    <n v="8"/>
    <n v="5"/>
    <n v="13"/>
    <n v="0"/>
    <n v="1"/>
    <n v="1"/>
  </r>
  <r>
    <n v="35"/>
    <d v="2024-11-10T00:00:00"/>
    <x v="1"/>
    <n v="4"/>
    <n v="5"/>
    <x v="76"/>
    <n v="7"/>
    <n v="3"/>
    <n v="10"/>
    <n v="0"/>
    <n v="0"/>
    <n v="-1"/>
  </r>
  <r>
    <n v="35"/>
    <d v="2024-11-10T00:00:00"/>
    <x v="1"/>
    <n v="5"/>
    <n v="4"/>
    <x v="62"/>
    <n v="6"/>
    <n v="1"/>
    <n v="7"/>
    <n v="0"/>
    <n v="0"/>
    <n v="1"/>
  </r>
  <r>
    <n v="35"/>
    <d v="2024-11-10T00:00:00"/>
    <x v="1"/>
    <n v="6"/>
    <n v="6"/>
    <x v="77"/>
    <n v="5"/>
    <n v="0"/>
    <n v="5"/>
    <n v="0"/>
    <n v="0"/>
    <n v="0"/>
  </r>
  <r>
    <n v="35"/>
    <d v="2024-11-10T00:00:00"/>
    <x v="1"/>
    <n v="7"/>
    <n v="8"/>
    <x v="79"/>
    <n v="4"/>
    <n v="0"/>
    <n v="4"/>
    <n v="0"/>
    <n v="0"/>
    <n v="-1"/>
  </r>
  <r>
    <n v="35"/>
    <d v="2024-11-10T00:00:00"/>
    <x v="1"/>
    <n v="8"/>
    <n v="11"/>
    <x v="80"/>
    <n v="3"/>
    <n v="0"/>
    <n v="3"/>
    <n v="0"/>
    <n v="0"/>
    <n v="-3"/>
  </r>
  <r>
    <n v="35"/>
    <d v="2024-11-10T00:00:00"/>
    <x v="1"/>
    <n v="9"/>
    <n v="11"/>
    <x v="81"/>
    <n v="2"/>
    <n v="0"/>
    <n v="2"/>
    <n v="0"/>
    <n v="0"/>
    <n v="-2"/>
  </r>
  <r>
    <n v="35"/>
    <d v="2024-11-10T00:00:00"/>
    <x v="1"/>
    <n v="10"/>
    <n v="7"/>
    <x v="46"/>
    <n v="1"/>
    <n v="0"/>
    <n v="1"/>
    <n v="0"/>
    <n v="0"/>
    <n v="3"/>
  </r>
  <r>
    <n v="36"/>
    <d v="2024-11-17T00:00:00"/>
    <x v="0"/>
    <n v="1"/>
    <n v="1"/>
    <x v="61"/>
    <n v="10"/>
    <n v="9"/>
    <n v="19"/>
    <n v="1"/>
    <n v="1"/>
    <n v="0"/>
  </r>
  <r>
    <n v="36"/>
    <d v="2024-11-17T00:00:00"/>
    <x v="0"/>
    <n v="2"/>
    <n v="3"/>
    <x v="34"/>
    <n v="9"/>
    <n v="7"/>
    <n v="16"/>
    <n v="0"/>
    <n v="1"/>
    <n v="-1"/>
  </r>
  <r>
    <n v="36"/>
    <d v="2024-11-17T00:00:00"/>
    <x v="0"/>
    <n v="3"/>
    <n v="2"/>
    <x v="51"/>
    <n v="8"/>
    <n v="5"/>
    <n v="13"/>
    <n v="0"/>
    <n v="1"/>
    <n v="1"/>
  </r>
  <r>
    <n v="36"/>
    <d v="2024-11-17T00:00:00"/>
    <x v="0"/>
    <n v="4"/>
    <n v="5"/>
    <x v="74"/>
    <n v="7"/>
    <n v="3"/>
    <n v="10"/>
    <n v="0"/>
    <n v="0"/>
    <n v="-1"/>
  </r>
  <r>
    <n v="36"/>
    <d v="2024-11-17T00:00:00"/>
    <x v="0"/>
    <n v="5"/>
    <n v="4"/>
    <x v="69"/>
    <n v="6"/>
    <n v="1"/>
    <n v="7"/>
    <n v="0"/>
    <n v="0"/>
    <n v="1"/>
  </r>
  <r>
    <n v="36"/>
    <d v="2024-11-17T00:00:00"/>
    <x v="0"/>
    <n v="6"/>
    <n v="6"/>
    <x v="71"/>
    <n v="5"/>
    <n v="0"/>
    <n v="5"/>
    <n v="0"/>
    <n v="0"/>
    <n v="0"/>
  </r>
  <r>
    <n v="36"/>
    <d v="2024-11-17T00:00:00"/>
    <x v="0"/>
    <n v="7"/>
    <n v="8"/>
    <x v="78"/>
    <n v="4"/>
    <n v="0"/>
    <n v="4"/>
    <n v="0"/>
    <n v="0"/>
    <n v="-1"/>
  </r>
  <r>
    <n v="36"/>
    <d v="2024-11-17T00:00:00"/>
    <x v="0"/>
    <n v="8"/>
    <n v="7"/>
    <x v="65"/>
    <n v="3"/>
    <n v="0"/>
    <n v="3"/>
    <n v="0"/>
    <n v="0"/>
    <n v="1"/>
  </r>
  <r>
    <n v="36"/>
    <d v="2024-11-17T00:00:00"/>
    <x v="0"/>
    <n v="9"/>
    <n v="9"/>
    <x v="57"/>
    <n v="2"/>
    <n v="0"/>
    <n v="2"/>
    <n v="0"/>
    <n v="0"/>
    <n v="0"/>
  </r>
  <r>
    <n v="36"/>
    <d v="2024-11-17T00:00:00"/>
    <x v="0"/>
    <n v="10"/>
    <n v="11"/>
    <x v="82"/>
    <n v="1"/>
    <n v="0"/>
    <n v="1"/>
    <n v="0"/>
    <n v="0"/>
    <n v="-1"/>
  </r>
  <r>
    <n v="36"/>
    <d v="2024-11-17T00:00:00"/>
    <x v="1"/>
    <n v="1"/>
    <n v="1"/>
    <x v="66"/>
    <n v="10"/>
    <n v="9"/>
    <n v="19"/>
    <n v="1"/>
    <n v="1"/>
    <n v="0"/>
  </r>
  <r>
    <n v="36"/>
    <d v="2024-11-17T00:00:00"/>
    <x v="1"/>
    <n v="2"/>
    <n v="2"/>
    <x v="75"/>
    <n v="9"/>
    <n v="7"/>
    <n v="16"/>
    <n v="0"/>
    <n v="1"/>
    <n v="0"/>
  </r>
  <r>
    <n v="36"/>
    <d v="2024-11-17T00:00:00"/>
    <x v="1"/>
    <n v="3"/>
    <n v="4"/>
    <x v="76"/>
    <n v="8"/>
    <n v="5"/>
    <n v="13"/>
    <n v="0"/>
    <n v="1"/>
    <n v="-1"/>
  </r>
  <r>
    <n v="36"/>
    <d v="2024-11-17T00:00:00"/>
    <x v="1"/>
    <n v="4"/>
    <n v="3"/>
    <x v="64"/>
    <n v="7"/>
    <n v="3"/>
    <n v="10"/>
    <n v="0"/>
    <n v="0"/>
    <n v="1"/>
  </r>
  <r>
    <n v="36"/>
    <d v="2024-11-17T00:00:00"/>
    <x v="1"/>
    <n v="5"/>
    <n v="6"/>
    <x v="77"/>
    <n v="6"/>
    <n v="1"/>
    <n v="7"/>
    <n v="0"/>
    <n v="0"/>
    <n v="-1"/>
  </r>
  <r>
    <n v="36"/>
    <d v="2024-11-17T00:00:00"/>
    <x v="1"/>
    <n v="6"/>
    <n v="7"/>
    <x v="79"/>
    <n v="5"/>
    <n v="0"/>
    <n v="5"/>
    <n v="0"/>
    <n v="0"/>
    <n v="-1"/>
  </r>
  <r>
    <n v="36"/>
    <d v="2024-11-17T00:00:00"/>
    <x v="1"/>
    <n v="7"/>
    <n v="8"/>
    <x v="80"/>
    <n v="4"/>
    <n v="0"/>
    <n v="4"/>
    <n v="0"/>
    <n v="0"/>
    <n v="-1"/>
  </r>
  <r>
    <n v="36"/>
    <d v="2024-11-17T00:00:00"/>
    <x v="1"/>
    <n v="8"/>
    <n v="9"/>
    <x v="81"/>
    <n v="3"/>
    <n v="0"/>
    <n v="3"/>
    <n v="0"/>
    <n v="0"/>
    <n v="-1"/>
  </r>
  <r>
    <n v="36"/>
    <d v="2024-11-17T00:00:00"/>
    <x v="1"/>
    <n v="9"/>
    <n v="5"/>
    <x v="62"/>
    <n v="2"/>
    <n v="0"/>
    <n v="2"/>
    <n v="0"/>
    <n v="0"/>
    <n v="4"/>
  </r>
  <r>
    <n v="36"/>
    <d v="2024-11-17T00:00:00"/>
    <x v="1"/>
    <n v="10"/>
    <n v="11"/>
    <x v="83"/>
    <n v="1"/>
    <n v="0"/>
    <n v="1"/>
    <n v="0"/>
    <n v="0"/>
    <n v="-1"/>
  </r>
  <r>
    <n v="37"/>
    <d v="2024-12-01T00:00:00"/>
    <x v="0"/>
    <n v="1"/>
    <n v="2"/>
    <x v="34"/>
    <n v="10"/>
    <n v="9"/>
    <n v="19"/>
    <n v="1"/>
    <n v="1"/>
    <n v="-1"/>
  </r>
  <r>
    <n v="37"/>
    <d v="2024-12-01T00:00:00"/>
    <x v="0"/>
    <n v="2"/>
    <n v="1"/>
    <x v="61"/>
    <n v="9"/>
    <n v="7"/>
    <n v="16"/>
    <n v="0"/>
    <n v="1"/>
    <n v="1"/>
  </r>
  <r>
    <n v="37"/>
    <d v="2024-12-01T00:00:00"/>
    <x v="0"/>
    <n v="3"/>
    <n v="3"/>
    <x v="51"/>
    <n v="8"/>
    <n v="5"/>
    <n v="13"/>
    <n v="0"/>
    <n v="1"/>
    <n v="0"/>
  </r>
  <r>
    <n v="37"/>
    <d v="2024-12-01T00:00:00"/>
    <x v="0"/>
    <n v="4"/>
    <n v="4"/>
    <x v="74"/>
    <n v="7"/>
    <n v="3"/>
    <n v="10"/>
    <n v="0"/>
    <n v="0"/>
    <n v="0"/>
  </r>
  <r>
    <n v="37"/>
    <d v="2024-12-01T00:00:00"/>
    <x v="0"/>
    <n v="5"/>
    <n v="6"/>
    <x v="71"/>
    <n v="6"/>
    <n v="1"/>
    <n v="7"/>
    <n v="0"/>
    <n v="0"/>
    <n v="-1"/>
  </r>
  <r>
    <n v="37"/>
    <d v="2024-12-01T00:00:00"/>
    <x v="0"/>
    <n v="6"/>
    <n v="5"/>
    <x v="69"/>
    <n v="5"/>
    <n v="0"/>
    <n v="5"/>
    <n v="0"/>
    <n v="0"/>
    <n v="1"/>
  </r>
  <r>
    <n v="37"/>
    <d v="2024-12-01T00:00:00"/>
    <x v="0"/>
    <n v="7"/>
    <n v="7"/>
    <x v="78"/>
    <n v="4"/>
    <n v="0"/>
    <n v="4"/>
    <n v="0"/>
    <n v="0"/>
    <n v="0"/>
  </r>
  <r>
    <n v="37"/>
    <d v="2024-12-01T00:00:00"/>
    <x v="0"/>
    <n v="8"/>
    <n v="10"/>
    <x v="82"/>
    <n v="3"/>
    <n v="0"/>
    <n v="3"/>
    <n v="0"/>
    <n v="0"/>
    <n v="-2"/>
  </r>
  <r>
    <n v="37"/>
    <d v="2024-12-01T00:00:00"/>
    <x v="0"/>
    <n v="9"/>
    <n v="8"/>
    <x v="65"/>
    <n v="2"/>
    <n v="0"/>
    <n v="2"/>
    <n v="0"/>
    <n v="0"/>
    <n v="1"/>
  </r>
  <r>
    <n v="37"/>
    <d v="2024-12-01T00:00:00"/>
    <x v="0"/>
    <n v="10"/>
    <n v="9"/>
    <x v="57"/>
    <n v="1"/>
    <n v="0"/>
    <n v="1"/>
    <n v="0"/>
    <n v="0"/>
    <n v="1"/>
  </r>
  <r>
    <n v="37"/>
    <d v="2024-12-01T00:00:00"/>
    <x v="1"/>
    <n v="1"/>
    <n v="2"/>
    <x v="75"/>
    <n v="10"/>
    <n v="9"/>
    <n v="19"/>
    <n v="1"/>
    <n v="1"/>
    <n v="-1"/>
  </r>
  <r>
    <n v="37"/>
    <d v="2024-12-01T00:00:00"/>
    <x v="1"/>
    <n v="2"/>
    <n v="1"/>
    <x v="66"/>
    <n v="9"/>
    <n v="7"/>
    <n v="16"/>
    <n v="0"/>
    <n v="1"/>
    <n v="1"/>
  </r>
  <r>
    <n v="37"/>
    <d v="2024-12-01T00:00:00"/>
    <x v="1"/>
    <n v="3"/>
    <n v="3"/>
    <x v="76"/>
    <n v="8"/>
    <n v="5"/>
    <n v="13"/>
    <n v="0"/>
    <n v="1"/>
    <n v="0"/>
  </r>
  <r>
    <n v="37"/>
    <d v="2024-12-01T00:00:00"/>
    <x v="1"/>
    <n v="4"/>
    <n v="6"/>
    <x v="79"/>
    <n v="7"/>
    <n v="3"/>
    <n v="10"/>
    <n v="0"/>
    <n v="0"/>
    <n v="-2"/>
  </r>
  <r>
    <n v="37"/>
    <d v="2024-12-01T00:00:00"/>
    <x v="1"/>
    <n v="5"/>
    <n v="5"/>
    <x v="77"/>
    <n v="6"/>
    <n v="1"/>
    <n v="7"/>
    <n v="0"/>
    <n v="0"/>
    <n v="0"/>
  </r>
  <r>
    <n v="37"/>
    <d v="2024-12-01T00:00:00"/>
    <x v="1"/>
    <n v="6"/>
    <n v="8"/>
    <x v="81"/>
    <n v="5"/>
    <n v="0"/>
    <n v="5"/>
    <n v="0"/>
    <n v="0"/>
    <n v="-2"/>
  </r>
  <r>
    <n v="37"/>
    <d v="2024-12-01T00:00:00"/>
    <x v="1"/>
    <n v="7"/>
    <n v="4"/>
    <x v="64"/>
    <n v="4"/>
    <n v="0"/>
    <n v="4"/>
    <n v="0"/>
    <n v="0"/>
    <n v="3"/>
  </r>
  <r>
    <n v="37"/>
    <d v="2024-12-01T00:00:00"/>
    <x v="1"/>
    <n v="8"/>
    <n v="11"/>
    <x v="84"/>
    <n v="3"/>
    <n v="0"/>
    <n v="3"/>
    <n v="0"/>
    <n v="0"/>
    <n v="-3"/>
  </r>
  <r>
    <n v="37"/>
    <d v="2024-12-01T00:00:00"/>
    <x v="1"/>
    <n v="9"/>
    <n v="7"/>
    <x v="80"/>
    <n v="2"/>
    <n v="0"/>
    <n v="2"/>
    <n v="0"/>
    <n v="0"/>
    <n v="2"/>
  </r>
  <r>
    <n v="37"/>
    <d v="2024-12-01T00:00:00"/>
    <x v="1"/>
    <n v="10"/>
    <n v="10"/>
    <x v="83"/>
    <n v="1"/>
    <n v="0"/>
    <n v="1"/>
    <n v="0"/>
    <n v="0"/>
    <n v="0"/>
  </r>
  <r>
    <n v="38"/>
    <d v="2024-12-15T00:00:00"/>
    <x v="0"/>
    <n v="1"/>
    <n v="1"/>
    <x v="34"/>
    <n v="10"/>
    <n v="9"/>
    <n v="19"/>
    <n v="1"/>
    <n v="1"/>
    <n v="0"/>
  </r>
  <r>
    <n v="38"/>
    <d v="2024-12-15T00:00:00"/>
    <x v="0"/>
    <n v="2"/>
    <n v="2"/>
    <x v="61"/>
    <n v="9"/>
    <n v="7"/>
    <n v="16"/>
    <n v="0"/>
    <n v="1"/>
    <n v="0"/>
  </r>
  <r>
    <n v="38"/>
    <d v="2024-12-15T00:00:00"/>
    <x v="0"/>
    <n v="3"/>
    <n v="4"/>
    <x v="74"/>
    <n v="8"/>
    <n v="5"/>
    <n v="13"/>
    <n v="0"/>
    <n v="1"/>
    <n v="-1"/>
  </r>
  <r>
    <n v="38"/>
    <d v="2024-12-15T00:00:00"/>
    <x v="0"/>
    <n v="4"/>
    <n v="3"/>
    <x v="51"/>
    <n v="7"/>
    <n v="3"/>
    <n v="10"/>
    <n v="0"/>
    <n v="0"/>
    <n v="1"/>
  </r>
  <r>
    <n v="38"/>
    <d v="2024-12-15T00:00:00"/>
    <x v="0"/>
    <n v="5"/>
    <n v="8"/>
    <x v="82"/>
    <n v="6"/>
    <n v="1"/>
    <n v="7"/>
    <n v="0"/>
    <n v="0"/>
    <n v="-3"/>
  </r>
  <r>
    <n v="38"/>
    <d v="2024-12-15T00:00:00"/>
    <x v="0"/>
    <n v="6"/>
    <n v="7"/>
    <x v="78"/>
    <n v="5"/>
    <n v="0"/>
    <n v="5"/>
    <n v="0"/>
    <n v="0"/>
    <n v="-1"/>
  </r>
  <r>
    <n v="38"/>
    <d v="2024-12-15T00:00:00"/>
    <x v="0"/>
    <n v="7"/>
    <n v="5"/>
    <x v="71"/>
    <n v="4"/>
    <n v="0"/>
    <n v="4"/>
    <n v="0"/>
    <n v="0"/>
    <n v="2"/>
  </r>
  <r>
    <n v="38"/>
    <d v="2024-12-15T00:00:00"/>
    <x v="0"/>
    <n v="8"/>
    <n v="6"/>
    <x v="69"/>
    <n v="3"/>
    <n v="0"/>
    <n v="3"/>
    <n v="0"/>
    <n v="0"/>
    <n v="2"/>
  </r>
  <r>
    <n v="38"/>
    <d v="2024-12-15T00:00:00"/>
    <x v="0"/>
    <n v="9"/>
    <n v="11"/>
    <x v="85"/>
    <n v="2"/>
    <n v="0"/>
    <n v="2"/>
    <n v="0"/>
    <n v="0"/>
    <n v="-2"/>
  </r>
  <r>
    <n v="38"/>
    <d v="2024-12-15T00:00:00"/>
    <x v="0"/>
    <n v="10"/>
    <n v="10"/>
    <x v="57"/>
    <n v="1"/>
    <n v="0"/>
    <n v="1"/>
    <n v="0"/>
    <n v="0"/>
    <n v="0"/>
  </r>
  <r>
    <n v="38"/>
    <d v="2024-12-15T00:00:00"/>
    <x v="1"/>
    <n v="1"/>
    <n v="1"/>
    <x v="75"/>
    <n v="10"/>
    <n v="9"/>
    <n v="19"/>
    <n v="1"/>
    <n v="1"/>
    <n v="0"/>
  </r>
  <r>
    <n v="38"/>
    <d v="2024-12-15T00:00:00"/>
    <x v="1"/>
    <n v="2"/>
    <n v="3"/>
    <x v="76"/>
    <n v="9"/>
    <n v="7"/>
    <n v="16"/>
    <n v="0"/>
    <n v="1"/>
    <n v="-1"/>
  </r>
  <r>
    <n v="38"/>
    <d v="2024-12-15T00:00:00"/>
    <x v="1"/>
    <n v="3"/>
    <n v="4"/>
    <x v="79"/>
    <n v="8"/>
    <n v="5"/>
    <n v="13"/>
    <n v="0"/>
    <n v="1"/>
    <n v="-1"/>
  </r>
  <r>
    <n v="38"/>
    <d v="2024-12-15T00:00:00"/>
    <x v="1"/>
    <n v="4"/>
    <n v="6"/>
    <x v="81"/>
    <n v="7"/>
    <n v="3"/>
    <n v="10"/>
    <n v="0"/>
    <n v="0"/>
    <n v="-2"/>
  </r>
  <r>
    <n v="38"/>
    <d v="2024-12-15T00:00:00"/>
    <x v="1"/>
    <n v="5"/>
    <n v="5"/>
    <x v="77"/>
    <n v="6"/>
    <n v="1"/>
    <n v="7"/>
    <n v="0"/>
    <n v="0"/>
    <n v="0"/>
  </r>
  <r>
    <n v="38"/>
    <d v="2024-12-15T00:00:00"/>
    <x v="1"/>
    <n v="6"/>
    <n v="2"/>
    <x v="66"/>
    <n v="5"/>
    <n v="0"/>
    <n v="5"/>
    <n v="0"/>
    <n v="0"/>
    <n v="4"/>
  </r>
  <r>
    <n v="38"/>
    <d v="2024-12-15T00:00:00"/>
    <x v="1"/>
    <n v="7"/>
    <n v="8"/>
    <x v="84"/>
    <n v="4"/>
    <n v="0"/>
    <n v="4"/>
    <n v="0"/>
    <n v="0"/>
    <n v="-1"/>
  </r>
  <r>
    <n v="38"/>
    <d v="2024-12-15T00:00:00"/>
    <x v="1"/>
    <n v="8"/>
    <n v="11"/>
    <x v="86"/>
    <n v="3"/>
    <n v="0"/>
    <n v="3"/>
    <n v="0"/>
    <n v="0"/>
    <n v="-3"/>
  </r>
  <r>
    <n v="38"/>
    <d v="2024-12-15T00:00:00"/>
    <x v="1"/>
    <n v="9"/>
    <n v="7"/>
    <x v="64"/>
    <n v="2"/>
    <n v="0"/>
    <n v="2"/>
    <n v="0"/>
    <n v="0"/>
    <n v="2"/>
  </r>
  <r>
    <n v="38"/>
    <d v="2024-12-15T00:00:00"/>
    <x v="1"/>
    <n v="10"/>
    <n v="11"/>
    <x v="87"/>
    <n v="1"/>
    <n v="0"/>
    <n v="1"/>
    <n v="0"/>
    <n v="0"/>
    <n v="-1"/>
  </r>
  <r>
    <n v="39"/>
    <d v="2024-12-22T00:00:00"/>
    <x v="0"/>
    <n v="1"/>
    <n v="1"/>
    <x v="34"/>
    <n v="10"/>
    <n v="9"/>
    <n v="19"/>
    <n v="1"/>
    <n v="1"/>
    <n v="0"/>
  </r>
  <r>
    <n v="39"/>
    <d v="2024-12-22T00:00:00"/>
    <x v="0"/>
    <n v="2"/>
    <n v="2"/>
    <x v="61"/>
    <n v="9"/>
    <n v="7"/>
    <n v="16"/>
    <n v="0"/>
    <n v="1"/>
    <n v="0"/>
  </r>
  <r>
    <n v="39"/>
    <d v="2024-12-22T00:00:00"/>
    <x v="0"/>
    <n v="3"/>
    <n v="3"/>
    <x v="74"/>
    <n v="8"/>
    <n v="5"/>
    <n v="13"/>
    <n v="0"/>
    <n v="1"/>
    <n v="0"/>
  </r>
  <r>
    <n v="39"/>
    <d v="2024-12-22T00:00:00"/>
    <x v="0"/>
    <n v="4"/>
    <n v="5"/>
    <x v="82"/>
    <n v="7"/>
    <n v="3"/>
    <n v="10"/>
    <n v="0"/>
    <n v="0"/>
    <n v="-1"/>
  </r>
  <r>
    <n v="39"/>
    <d v="2024-12-22T00:00:00"/>
    <x v="0"/>
    <n v="5"/>
    <n v="4"/>
    <x v="51"/>
    <n v="6"/>
    <n v="1"/>
    <n v="7"/>
    <n v="0"/>
    <n v="0"/>
    <n v="1"/>
  </r>
  <r>
    <n v="39"/>
    <d v="2024-12-22T00:00:00"/>
    <x v="0"/>
    <n v="6"/>
    <n v="6"/>
    <x v="78"/>
    <n v="5"/>
    <n v="0"/>
    <n v="5"/>
    <n v="0"/>
    <n v="0"/>
    <n v="0"/>
  </r>
  <r>
    <n v="39"/>
    <d v="2024-12-22T00:00:00"/>
    <x v="0"/>
    <n v="7"/>
    <n v="7"/>
    <x v="71"/>
    <n v="4"/>
    <n v="0"/>
    <n v="4"/>
    <n v="0"/>
    <n v="0"/>
    <n v="0"/>
  </r>
  <r>
    <n v="39"/>
    <d v="2024-12-22T00:00:00"/>
    <x v="0"/>
    <n v="8"/>
    <n v="8"/>
    <x v="69"/>
    <n v="3"/>
    <n v="0"/>
    <n v="3"/>
    <n v="0"/>
    <n v="0"/>
    <n v="0"/>
  </r>
  <r>
    <n v="39"/>
    <d v="2024-12-22T00:00:00"/>
    <x v="0"/>
    <n v="9"/>
    <n v="9"/>
    <x v="85"/>
    <n v="2"/>
    <n v="0"/>
    <n v="2"/>
    <n v="0"/>
    <n v="0"/>
    <n v="0"/>
  </r>
  <r>
    <n v="39"/>
    <d v="2024-12-22T00:00:00"/>
    <x v="0"/>
    <n v="10"/>
    <n v="11"/>
    <x v="88"/>
    <n v="1"/>
    <n v="0"/>
    <n v="1"/>
    <n v="0"/>
    <n v="0"/>
    <n v="-1"/>
  </r>
  <r>
    <n v="39"/>
    <d v="2024-12-22T00:00:00"/>
    <x v="1"/>
    <n v="1"/>
    <n v="1"/>
    <x v="75"/>
    <n v="10"/>
    <n v="9"/>
    <n v="19"/>
    <n v="1"/>
    <n v="1"/>
    <n v="0"/>
  </r>
  <r>
    <n v="39"/>
    <d v="2024-12-22T00:00:00"/>
    <x v="1"/>
    <n v="2"/>
    <n v="2"/>
    <x v="76"/>
    <n v="9"/>
    <n v="7"/>
    <n v="16"/>
    <n v="0"/>
    <n v="1"/>
    <n v="0"/>
  </r>
  <r>
    <n v="39"/>
    <d v="2024-12-22T00:00:00"/>
    <x v="1"/>
    <n v="3"/>
    <n v="4"/>
    <x v="81"/>
    <n v="8"/>
    <n v="5"/>
    <n v="13"/>
    <n v="0"/>
    <n v="1"/>
    <n v="-1"/>
  </r>
  <r>
    <n v="39"/>
    <d v="2024-12-22T00:00:00"/>
    <x v="1"/>
    <n v="4"/>
    <n v="3"/>
    <x v="79"/>
    <n v="7"/>
    <n v="3"/>
    <n v="10"/>
    <n v="0"/>
    <n v="0"/>
    <n v="1"/>
  </r>
  <r>
    <n v="39"/>
    <d v="2024-12-22T00:00:00"/>
    <x v="1"/>
    <n v="5"/>
    <n v="8"/>
    <x v="86"/>
    <n v="6"/>
    <n v="1"/>
    <n v="7"/>
    <n v="0"/>
    <n v="0"/>
    <n v="-3"/>
  </r>
  <r>
    <n v="39"/>
    <d v="2024-12-22T00:00:00"/>
    <x v="1"/>
    <n v="6"/>
    <n v="11"/>
    <x v="89"/>
    <n v="5"/>
    <n v="0"/>
    <n v="5"/>
    <n v="0"/>
    <n v="0"/>
    <n v="-5"/>
  </r>
  <r>
    <n v="39"/>
    <d v="2024-12-22T00:00:00"/>
    <x v="1"/>
    <n v="7"/>
    <n v="5"/>
    <x v="77"/>
    <n v="4"/>
    <n v="0"/>
    <n v="4"/>
    <n v="0"/>
    <n v="0"/>
    <n v="2"/>
  </r>
  <r>
    <n v="39"/>
    <d v="2024-12-22T00:00:00"/>
    <x v="1"/>
    <n v="8"/>
    <n v="7"/>
    <x v="84"/>
    <n v="3"/>
    <n v="0"/>
    <n v="3"/>
    <n v="0"/>
    <n v="0"/>
    <n v="1"/>
  </r>
  <r>
    <n v="39"/>
    <d v="2024-12-22T00:00:00"/>
    <x v="1"/>
    <n v="9"/>
    <n v="10"/>
    <x v="87"/>
    <n v="2"/>
    <n v="0"/>
    <n v="2"/>
    <n v="0"/>
    <n v="0"/>
    <n v="-1"/>
  </r>
  <r>
    <n v="39"/>
    <d v="2024-12-22T00:00:00"/>
    <x v="1"/>
    <n v="10"/>
    <n v="6"/>
    <x v="66"/>
    <n v="1"/>
    <n v="0"/>
    <n v="1"/>
    <n v="0"/>
    <n v="0"/>
    <n v="4"/>
  </r>
  <r>
    <n v="40"/>
    <d v="2024-12-29T00:00:00"/>
    <x v="0"/>
    <n v="1"/>
    <n v="1"/>
    <x v="34"/>
    <n v="10"/>
    <n v="9"/>
    <n v="19"/>
    <n v="1"/>
    <n v="1"/>
    <n v="0"/>
  </r>
  <r>
    <n v="40"/>
    <d v="2024-12-29T00:00:00"/>
    <x v="0"/>
    <n v="2"/>
    <n v="2"/>
    <x v="61"/>
    <n v="9"/>
    <n v="7"/>
    <n v="16"/>
    <n v="0"/>
    <n v="1"/>
    <n v="0"/>
  </r>
  <r>
    <n v="40"/>
    <d v="2024-12-29T00:00:00"/>
    <x v="0"/>
    <n v="3"/>
    <n v="4"/>
    <x v="82"/>
    <n v="8"/>
    <n v="5"/>
    <n v="13"/>
    <n v="0"/>
    <n v="1"/>
    <n v="-1"/>
  </r>
  <r>
    <n v="40"/>
    <d v="2024-12-29T00:00:00"/>
    <x v="0"/>
    <n v="4"/>
    <n v="3"/>
    <x v="74"/>
    <n v="7"/>
    <n v="3"/>
    <n v="10"/>
    <n v="0"/>
    <n v="0"/>
    <n v="1"/>
  </r>
  <r>
    <n v="40"/>
    <d v="2024-12-29T00:00:00"/>
    <x v="0"/>
    <n v="5"/>
    <n v="6"/>
    <x v="78"/>
    <n v="6"/>
    <n v="1"/>
    <n v="7"/>
    <n v="0"/>
    <n v="0"/>
    <n v="-1"/>
  </r>
  <r>
    <n v="40"/>
    <d v="2024-12-29T00:00:00"/>
    <x v="0"/>
    <n v="6"/>
    <n v="5"/>
    <x v="51"/>
    <n v="5"/>
    <n v="0"/>
    <n v="5"/>
    <n v="0"/>
    <n v="0"/>
    <n v="1"/>
  </r>
  <r>
    <n v="40"/>
    <d v="2024-12-29T00:00:00"/>
    <x v="0"/>
    <n v="7"/>
    <n v="9"/>
    <x v="85"/>
    <n v="4"/>
    <n v="0"/>
    <n v="4"/>
    <n v="0"/>
    <n v="0"/>
    <n v="-2"/>
  </r>
  <r>
    <n v="40"/>
    <d v="2024-12-29T00:00:00"/>
    <x v="0"/>
    <n v="8"/>
    <n v="10"/>
    <x v="88"/>
    <n v="3"/>
    <n v="0"/>
    <n v="3"/>
    <n v="0"/>
    <n v="0"/>
    <n v="-2"/>
  </r>
  <r>
    <n v="40"/>
    <d v="2024-12-29T00:00:00"/>
    <x v="0"/>
    <n v="9"/>
    <n v="7"/>
    <x v="71"/>
    <n v="2"/>
    <n v="0"/>
    <n v="2"/>
    <n v="0"/>
    <n v="0"/>
    <n v="2"/>
  </r>
  <r>
    <n v="40"/>
    <d v="2024-12-29T00:00:00"/>
    <x v="0"/>
    <n v="10"/>
    <n v="8"/>
    <x v="69"/>
    <n v="1"/>
    <n v="0"/>
    <n v="1"/>
    <n v="0"/>
    <n v="0"/>
    <n v="2"/>
  </r>
  <r>
    <n v="40"/>
    <d v="2024-12-29T00:00:00"/>
    <x v="1"/>
    <n v="1"/>
    <n v="1"/>
    <x v="75"/>
    <n v="10"/>
    <n v="9"/>
    <n v="19"/>
    <n v="1"/>
    <n v="1"/>
    <n v="0"/>
  </r>
  <r>
    <n v="40"/>
    <d v="2024-12-29T00:00:00"/>
    <x v="1"/>
    <n v="2"/>
    <n v="3"/>
    <x v="81"/>
    <n v="9"/>
    <n v="7"/>
    <n v="16"/>
    <n v="0"/>
    <n v="1"/>
    <n v="-1"/>
  </r>
  <r>
    <n v="40"/>
    <d v="2024-12-29T00:00:00"/>
    <x v="1"/>
    <n v="3"/>
    <n v="2"/>
    <x v="76"/>
    <n v="8"/>
    <n v="5"/>
    <n v="13"/>
    <n v="0"/>
    <n v="1"/>
    <n v="1"/>
  </r>
  <r>
    <n v="40"/>
    <d v="2024-12-29T00:00:00"/>
    <x v="1"/>
    <n v="4"/>
    <n v="5"/>
    <x v="86"/>
    <n v="7"/>
    <n v="3"/>
    <n v="10"/>
    <n v="0"/>
    <n v="0"/>
    <n v="-1"/>
  </r>
  <r>
    <n v="40"/>
    <d v="2024-12-29T00:00:00"/>
    <x v="1"/>
    <n v="5"/>
    <n v="4"/>
    <x v="79"/>
    <n v="6"/>
    <n v="1"/>
    <n v="7"/>
    <n v="0"/>
    <n v="0"/>
    <n v="1"/>
  </r>
  <r>
    <n v="40"/>
    <d v="2024-12-29T00:00:00"/>
    <x v="1"/>
    <n v="6"/>
    <n v="6"/>
    <x v="89"/>
    <n v="5"/>
    <n v="0"/>
    <n v="5"/>
    <n v="0"/>
    <n v="0"/>
    <n v="0"/>
  </r>
  <r>
    <n v="40"/>
    <d v="2024-12-29T00:00:00"/>
    <x v="1"/>
    <n v="7"/>
    <n v="9"/>
    <x v="87"/>
    <n v="4"/>
    <n v="0"/>
    <n v="4"/>
    <n v="0"/>
    <n v="0"/>
    <n v="-2"/>
  </r>
  <r>
    <n v="40"/>
    <d v="2024-12-29T00:00:00"/>
    <x v="1"/>
    <n v="8"/>
    <n v="8"/>
    <x v="84"/>
    <n v="3"/>
    <n v="0"/>
    <n v="3"/>
    <n v="0"/>
    <n v="0"/>
    <n v="0"/>
  </r>
  <r>
    <n v="40"/>
    <d v="2024-12-29T00:00:00"/>
    <x v="1"/>
    <n v="9"/>
    <n v="7"/>
    <x v="77"/>
    <n v="2"/>
    <n v="0"/>
    <n v="2"/>
    <n v="0"/>
    <n v="0"/>
    <n v="2"/>
  </r>
  <r>
    <n v="40"/>
    <d v="2024-12-29T00:00:00"/>
    <x v="1"/>
    <n v="10"/>
    <n v="11"/>
    <x v="90"/>
    <n v="1"/>
    <n v="0"/>
    <n v="1"/>
    <n v="0"/>
    <n v="0"/>
    <n v="-1"/>
  </r>
  <r>
    <m/>
    <m/>
    <x v="2"/>
    <m/>
    <m/>
    <x v="9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C0E97-B135-46CC-A784-849665242441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56" firstHeaderRow="0" firstDataRow="1" firstDataCol="1" rowPageCount="1" colPageCount="1"/>
  <pivotFields count="9"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 sortType="descending">
      <items count="93">
        <item x="17"/>
        <item x="65"/>
        <item x="51"/>
        <item x="30"/>
        <item x="25"/>
        <item x="68"/>
        <item x="50"/>
        <item x="52"/>
        <item x="23"/>
        <item x="21"/>
        <item x="22"/>
        <item x="60"/>
        <item x="59"/>
        <item x="35"/>
        <item x="28"/>
        <item x="69"/>
        <item x="3"/>
        <item x="38"/>
        <item x="61"/>
        <item x="12"/>
        <item x="34"/>
        <item x="24"/>
        <item x="45"/>
        <item x="10"/>
        <item x="66"/>
        <item x="42"/>
        <item x="57"/>
        <item x="13"/>
        <item x="46"/>
        <item x="44"/>
        <item x="9"/>
        <item x="71"/>
        <item x="1"/>
        <item x="0"/>
        <item x="18"/>
        <item x="26"/>
        <item x="76"/>
        <item x="4"/>
        <item x="11"/>
        <item x="64"/>
        <item x="33"/>
        <item x="75"/>
        <item x="73"/>
        <item x="43"/>
        <item x="49"/>
        <item x="7"/>
        <item x="78"/>
        <item x="8"/>
        <item x="82"/>
        <item x="79"/>
        <item x="6"/>
        <item x="58"/>
        <item x="70"/>
        <item x="56"/>
        <item x="67"/>
        <item x="77"/>
        <item x="55"/>
        <item x="32"/>
        <item x="39"/>
        <item x="19"/>
        <item x="5"/>
        <item x="15"/>
        <item x="20"/>
        <item x="40"/>
        <item x="48"/>
        <item x="80"/>
        <item x="63"/>
        <item x="29"/>
        <item x="83"/>
        <item x="62"/>
        <item x="14"/>
        <item x="72"/>
        <item x="81"/>
        <item x="47"/>
        <item x="41"/>
        <item x="16"/>
        <item x="36"/>
        <item x="54"/>
        <item x="37"/>
        <item x="74"/>
        <item x="53"/>
        <item x="2"/>
        <item x="31"/>
        <item x="27"/>
        <item x="91"/>
        <item x="84"/>
        <item x="85"/>
        <item x="86"/>
        <item x="87"/>
        <item x="88"/>
        <item x="89"/>
        <item x="9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5"/>
  </rowFields>
  <rowItems count="53">
    <i>
      <x v="61"/>
    </i>
    <i>
      <x v="73"/>
    </i>
    <i>
      <x v="39"/>
    </i>
    <i>
      <x v="69"/>
    </i>
    <i>
      <x v="40"/>
    </i>
    <i>
      <x v="24"/>
    </i>
    <i>
      <x v="77"/>
    </i>
    <i>
      <x v="57"/>
    </i>
    <i>
      <x v="41"/>
    </i>
    <i>
      <x v="6"/>
    </i>
    <i>
      <x v="23"/>
    </i>
    <i>
      <x v="4"/>
    </i>
    <i>
      <x v="36"/>
    </i>
    <i>
      <x v="19"/>
    </i>
    <i>
      <x v="56"/>
    </i>
    <i>
      <x v="28"/>
    </i>
    <i>
      <x v="10"/>
    </i>
    <i>
      <x v="11"/>
    </i>
    <i>
      <x v="66"/>
    </i>
    <i>
      <x v="13"/>
    </i>
    <i>
      <x v="38"/>
    </i>
    <i>
      <x v="49"/>
    </i>
    <i>
      <x v="72"/>
    </i>
    <i>
      <x v="43"/>
    </i>
    <i>
      <x v="55"/>
    </i>
    <i>
      <x v="27"/>
    </i>
    <i>
      <x v="53"/>
    </i>
    <i>
      <x v="64"/>
    </i>
    <i>
      <x v="5"/>
    </i>
    <i>
      <x v="35"/>
    </i>
    <i>
      <x/>
    </i>
    <i>
      <x v="78"/>
    </i>
    <i>
      <x v="74"/>
    </i>
    <i>
      <x v="52"/>
    </i>
    <i>
      <x v="25"/>
    </i>
    <i>
      <x v="87"/>
    </i>
    <i>
      <x v="71"/>
    </i>
    <i>
      <x v="85"/>
    </i>
    <i>
      <x v="59"/>
    </i>
    <i>
      <x v="7"/>
    </i>
    <i>
      <x v="70"/>
    </i>
    <i>
      <x v="90"/>
    </i>
    <i>
      <x v="65"/>
    </i>
    <i>
      <x v="12"/>
    </i>
    <i>
      <x v="75"/>
    </i>
    <i>
      <x v="88"/>
    </i>
    <i>
      <x v="34"/>
    </i>
    <i>
      <x v="82"/>
    </i>
    <i>
      <x v="42"/>
    </i>
    <i>
      <x v="68"/>
    </i>
    <i>
      <x v="91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0" hier="-1"/>
  </pageFields>
  <dataFields count="3">
    <dataField name="Suma de Valor" fld="6" baseField="0" baseItem="0"/>
    <dataField name="Suma de Bonus" fld="7" baseField="0" baseItem="0"/>
    <dataField name="Suma de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C26DF-B493-4190-8589-CF6E7CEDD874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56" firstHeaderRow="0" firstDataRow="1" firstDataCol="1" rowPageCount="1" colPageCount="1"/>
  <pivotFields count="12">
    <pivotField showAll="0"/>
    <pivotField showAll="0"/>
    <pivotField axis="axisPage" showAll="0">
      <items count="4">
        <item x="1"/>
        <item x="0"/>
        <item x="2"/>
        <item t="default"/>
      </items>
    </pivotField>
    <pivotField dataField="1" showAll="0"/>
    <pivotField showAll="0"/>
    <pivotField axis="axisRow" showAll="0" sortType="descending">
      <items count="93">
        <item x="17"/>
        <item x="65"/>
        <item x="51"/>
        <item x="30"/>
        <item x="25"/>
        <item x="68"/>
        <item x="50"/>
        <item x="52"/>
        <item x="23"/>
        <item x="21"/>
        <item x="22"/>
        <item x="60"/>
        <item x="59"/>
        <item x="35"/>
        <item x="28"/>
        <item x="69"/>
        <item x="3"/>
        <item x="38"/>
        <item x="61"/>
        <item x="12"/>
        <item x="34"/>
        <item x="24"/>
        <item x="45"/>
        <item x="10"/>
        <item x="66"/>
        <item x="42"/>
        <item x="57"/>
        <item x="13"/>
        <item x="46"/>
        <item x="44"/>
        <item x="9"/>
        <item x="71"/>
        <item x="1"/>
        <item x="0"/>
        <item x="18"/>
        <item x="26"/>
        <item x="76"/>
        <item x="4"/>
        <item x="11"/>
        <item x="64"/>
        <item x="33"/>
        <item x="75"/>
        <item x="73"/>
        <item x="43"/>
        <item x="49"/>
        <item x="84"/>
        <item x="7"/>
        <item x="78"/>
        <item x="8"/>
        <item x="82"/>
        <item x="79"/>
        <item x="6"/>
        <item x="58"/>
        <item x="70"/>
        <item x="56"/>
        <item x="67"/>
        <item x="77"/>
        <item x="55"/>
        <item x="32"/>
        <item x="39"/>
        <item x="19"/>
        <item x="5"/>
        <item x="15"/>
        <item x="20"/>
        <item x="40"/>
        <item x="48"/>
        <item x="80"/>
        <item x="63"/>
        <item x="29"/>
        <item x="83"/>
        <item x="62"/>
        <item x="14"/>
        <item x="72"/>
        <item x="81"/>
        <item x="47"/>
        <item x="41"/>
        <item x="16"/>
        <item x="36"/>
        <item x="54"/>
        <item x="37"/>
        <item x="74"/>
        <item x="53"/>
        <item x="2"/>
        <item x="31"/>
        <item x="27"/>
        <item x="91"/>
        <item x="85"/>
        <item x="86"/>
        <item x="87"/>
        <item x="88"/>
        <item x="89"/>
        <item x="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53">
    <i>
      <x v="62"/>
    </i>
    <i>
      <x v="74"/>
    </i>
    <i>
      <x v="39"/>
    </i>
    <i>
      <x v="70"/>
    </i>
    <i>
      <x v="40"/>
    </i>
    <i>
      <x v="24"/>
    </i>
    <i>
      <x v="78"/>
    </i>
    <i>
      <x v="58"/>
    </i>
    <i>
      <x v="41"/>
    </i>
    <i>
      <x v="6"/>
    </i>
    <i>
      <x v="23"/>
    </i>
    <i>
      <x v="4"/>
    </i>
    <i>
      <x v="36"/>
    </i>
    <i>
      <x v="19"/>
    </i>
    <i>
      <x v="57"/>
    </i>
    <i>
      <x v="28"/>
    </i>
    <i>
      <x v="10"/>
    </i>
    <i>
      <x v="67"/>
    </i>
    <i>
      <x v="11"/>
    </i>
    <i>
      <x v="13"/>
    </i>
    <i>
      <x v="38"/>
    </i>
    <i>
      <x v="50"/>
    </i>
    <i>
      <x v="73"/>
    </i>
    <i>
      <x v="43"/>
    </i>
    <i>
      <x v="56"/>
    </i>
    <i>
      <x v="27"/>
    </i>
    <i>
      <x v="54"/>
    </i>
    <i>
      <x v="65"/>
    </i>
    <i>
      <x v="5"/>
    </i>
    <i>
      <x v="35"/>
    </i>
    <i>
      <x v="79"/>
    </i>
    <i>
      <x/>
    </i>
    <i>
      <x v="75"/>
    </i>
    <i>
      <x v="53"/>
    </i>
    <i>
      <x v="25"/>
    </i>
    <i>
      <x v="87"/>
    </i>
    <i>
      <x v="72"/>
    </i>
    <i>
      <x v="60"/>
    </i>
    <i>
      <x v="45"/>
    </i>
    <i>
      <x v="71"/>
    </i>
    <i>
      <x v="7"/>
    </i>
    <i>
      <x v="90"/>
    </i>
    <i>
      <x v="66"/>
    </i>
    <i>
      <x v="76"/>
    </i>
    <i>
      <x v="12"/>
    </i>
    <i>
      <x v="88"/>
    </i>
    <i>
      <x v="34"/>
    </i>
    <i>
      <x v="83"/>
    </i>
    <i>
      <x v="69"/>
    </i>
    <i>
      <x v="42"/>
    </i>
    <i>
      <x v="91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item="0" hier="-1"/>
  </pageFields>
  <dataFields count="7">
    <dataField name="Suma de Total" fld="8" baseField="0" baseItem="0"/>
    <dataField name="Cuenta de Posición" fld="3" subtotal="count" baseField="5" baseItem="21"/>
    <dataField name="Mín. de Posición" fld="3" subtotal="min" baseField="5" baseItem="21"/>
    <dataField name="Suma de #1" fld="9" baseField="0" baseItem="0"/>
    <dataField name="Suma de Top3" fld="10" baseField="0" baseItem="0"/>
    <dataField name="Mín. de Delta" fld="11" subtotal="min" baseField="5" baseItem="21"/>
    <dataField name="Máx. de Delta" fld="11" subtotal="max" baseField="5" baseItem="2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E4B5-34C6-49F4-9812-52055268142B}">
  <dimension ref="A1:L761"/>
  <sheetViews>
    <sheetView workbookViewId="0">
      <pane ySplit="1" topLeftCell="A12" activePane="bottomLeft" state="frozen"/>
      <selection pane="bottomLeft" activeCell="A12" sqref="A12"/>
    </sheetView>
  </sheetViews>
  <sheetFormatPr baseColWidth="10" defaultRowHeight="15" x14ac:dyDescent="0.25"/>
  <sheetData>
    <row r="1" spans="1:12" x14ac:dyDescent="0.25">
      <c r="A1" s="4" t="s">
        <v>85</v>
      </c>
      <c r="B1" s="4" t="s">
        <v>2</v>
      </c>
      <c r="C1" s="4" t="s">
        <v>3</v>
      </c>
      <c r="D1" s="4" t="s">
        <v>5</v>
      </c>
      <c r="E1" s="4" t="s">
        <v>105</v>
      </c>
      <c r="F1" s="4" t="s">
        <v>6</v>
      </c>
      <c r="G1" s="4" t="s">
        <v>7</v>
      </c>
      <c r="H1" s="4" t="s">
        <v>95</v>
      </c>
      <c r="I1" s="4" t="s">
        <v>96</v>
      </c>
      <c r="J1" s="4" t="s">
        <v>100</v>
      </c>
      <c r="K1" s="4" t="s">
        <v>101</v>
      </c>
      <c r="L1" s="4" t="s">
        <v>106</v>
      </c>
    </row>
    <row r="2" spans="1:12" x14ac:dyDescent="0.25">
      <c r="A2">
        <v>1</v>
      </c>
      <c r="B2" s="1">
        <v>45305</v>
      </c>
      <c r="C2" t="s">
        <v>4</v>
      </c>
      <c r="D2">
        <v>1</v>
      </c>
      <c r="E2">
        <v>1</v>
      </c>
      <c r="F2" t="s">
        <v>71</v>
      </c>
      <c r="G2">
        <f t="shared" ref="G2:G41" si="0">11-D2</f>
        <v>10</v>
      </c>
      <c r="H2">
        <f>IF(D2&lt;6,11-2*D2,0)</f>
        <v>9</v>
      </c>
      <c r="I2">
        <f>G2+H2</f>
        <v>19</v>
      </c>
      <c r="J2">
        <f>COUNTIF(D2,"=1")</f>
        <v>1</v>
      </c>
      <c r="K2">
        <f>COUNTIF(D2,"&lt;4")</f>
        <v>1</v>
      </c>
      <c r="L2">
        <f>D2-E2</f>
        <v>0</v>
      </c>
    </row>
    <row r="3" spans="1:12" x14ac:dyDescent="0.25">
      <c r="A3">
        <v>1</v>
      </c>
      <c r="B3" s="1">
        <v>45305</v>
      </c>
      <c r="C3" t="s">
        <v>4</v>
      </c>
      <c r="D3">
        <v>2</v>
      </c>
      <c r="E3">
        <v>2</v>
      </c>
      <c r="F3" t="s">
        <v>69</v>
      </c>
      <c r="G3">
        <f t="shared" si="0"/>
        <v>9</v>
      </c>
      <c r="H3">
        <f t="shared" ref="H3:H66" si="1">IF(D3&lt;6,11-2*D3,0)</f>
        <v>7</v>
      </c>
      <c r="I3">
        <f t="shared" ref="I3:I66" si="2">G3+H3</f>
        <v>16</v>
      </c>
      <c r="J3">
        <f t="shared" ref="J3:J12" si="3">COUNTIF(D3,"=1")</f>
        <v>0</v>
      </c>
      <c r="K3">
        <f t="shared" ref="K3:K12" si="4">COUNTIF(D3,"&lt;4")</f>
        <v>1</v>
      </c>
      <c r="L3">
        <f t="shared" ref="L3:L66" si="5">D3-E3</f>
        <v>0</v>
      </c>
    </row>
    <row r="4" spans="1:12" x14ac:dyDescent="0.25">
      <c r="A4">
        <v>1</v>
      </c>
      <c r="B4" s="1">
        <v>45305</v>
      </c>
      <c r="C4" t="s">
        <v>4</v>
      </c>
      <c r="D4">
        <v>3</v>
      </c>
      <c r="E4">
        <v>3</v>
      </c>
      <c r="F4" t="s">
        <v>68</v>
      </c>
      <c r="G4">
        <f t="shared" si="0"/>
        <v>8</v>
      </c>
      <c r="H4">
        <f t="shared" si="1"/>
        <v>5</v>
      </c>
      <c r="I4">
        <f t="shared" si="2"/>
        <v>13</v>
      </c>
      <c r="J4">
        <f t="shared" si="3"/>
        <v>0</v>
      </c>
      <c r="K4">
        <f t="shared" si="4"/>
        <v>1</v>
      </c>
      <c r="L4">
        <f t="shared" si="5"/>
        <v>0</v>
      </c>
    </row>
    <row r="5" spans="1:12" x14ac:dyDescent="0.25">
      <c r="A5">
        <v>1</v>
      </c>
      <c r="B5" s="1">
        <v>45305</v>
      </c>
      <c r="C5" t="s">
        <v>4</v>
      </c>
      <c r="D5">
        <v>4</v>
      </c>
      <c r="E5">
        <v>11</v>
      </c>
      <c r="F5" t="s">
        <v>56</v>
      </c>
      <c r="G5">
        <f t="shared" si="0"/>
        <v>7</v>
      </c>
      <c r="H5">
        <f t="shared" si="1"/>
        <v>3</v>
      </c>
      <c r="I5">
        <f t="shared" si="2"/>
        <v>10</v>
      </c>
      <c r="J5">
        <f t="shared" si="3"/>
        <v>0</v>
      </c>
      <c r="K5">
        <f t="shared" si="4"/>
        <v>0</v>
      </c>
      <c r="L5">
        <f t="shared" si="5"/>
        <v>-7</v>
      </c>
    </row>
    <row r="6" spans="1:12" x14ac:dyDescent="0.25">
      <c r="A6">
        <v>1</v>
      </c>
      <c r="B6" s="1">
        <v>45305</v>
      </c>
      <c r="C6" t="s">
        <v>4</v>
      </c>
      <c r="D6">
        <v>5</v>
      </c>
      <c r="E6">
        <v>11</v>
      </c>
      <c r="F6" t="s">
        <v>70</v>
      </c>
      <c r="G6">
        <f t="shared" si="0"/>
        <v>6</v>
      </c>
      <c r="H6">
        <f t="shared" si="1"/>
        <v>1</v>
      </c>
      <c r="I6">
        <f t="shared" si="2"/>
        <v>7</v>
      </c>
      <c r="J6">
        <f t="shared" si="3"/>
        <v>0</v>
      </c>
      <c r="K6">
        <f t="shared" si="4"/>
        <v>0</v>
      </c>
      <c r="L6">
        <f t="shared" si="5"/>
        <v>-6</v>
      </c>
    </row>
    <row r="7" spans="1:12" x14ac:dyDescent="0.25">
      <c r="A7">
        <v>1</v>
      </c>
      <c r="B7" s="1">
        <v>45305</v>
      </c>
      <c r="C7" t="s">
        <v>4</v>
      </c>
      <c r="D7">
        <v>6</v>
      </c>
      <c r="E7">
        <v>6</v>
      </c>
      <c r="F7" t="s">
        <v>72</v>
      </c>
      <c r="G7">
        <f t="shared" si="0"/>
        <v>5</v>
      </c>
      <c r="H7">
        <f t="shared" si="1"/>
        <v>0</v>
      </c>
      <c r="I7">
        <f t="shared" si="2"/>
        <v>5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 x14ac:dyDescent="0.25">
      <c r="A8">
        <v>1</v>
      </c>
      <c r="B8" s="1">
        <v>45305</v>
      </c>
      <c r="C8" t="s">
        <v>4</v>
      </c>
      <c r="D8">
        <v>7</v>
      </c>
      <c r="E8">
        <v>7</v>
      </c>
      <c r="F8" t="s">
        <v>73</v>
      </c>
      <c r="G8">
        <f t="shared" si="0"/>
        <v>4</v>
      </c>
      <c r="H8">
        <f t="shared" si="1"/>
        <v>0</v>
      </c>
      <c r="I8">
        <f t="shared" si="2"/>
        <v>4</v>
      </c>
      <c r="J8">
        <f t="shared" si="3"/>
        <v>0</v>
      </c>
      <c r="K8">
        <f t="shared" si="4"/>
        <v>0</v>
      </c>
      <c r="L8">
        <f t="shared" si="5"/>
        <v>0</v>
      </c>
    </row>
    <row r="9" spans="1:12" x14ac:dyDescent="0.25">
      <c r="A9">
        <v>1</v>
      </c>
      <c r="B9" s="1">
        <v>45305</v>
      </c>
      <c r="C9" t="s">
        <v>4</v>
      </c>
      <c r="D9">
        <v>8</v>
      </c>
      <c r="E9">
        <v>8</v>
      </c>
      <c r="F9" t="s">
        <v>86</v>
      </c>
      <c r="G9">
        <f t="shared" si="0"/>
        <v>3</v>
      </c>
      <c r="H9">
        <f t="shared" si="1"/>
        <v>0</v>
      </c>
      <c r="I9">
        <f t="shared" si="2"/>
        <v>3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 x14ac:dyDescent="0.25">
      <c r="A10">
        <v>1</v>
      </c>
      <c r="B10" s="1">
        <v>45305</v>
      </c>
      <c r="C10" t="s">
        <v>4</v>
      </c>
      <c r="D10">
        <v>9</v>
      </c>
      <c r="E10">
        <v>9</v>
      </c>
      <c r="F10" t="s">
        <v>21</v>
      </c>
      <c r="G10">
        <f t="shared" si="0"/>
        <v>2</v>
      </c>
      <c r="H10">
        <f t="shared" si="1"/>
        <v>0</v>
      </c>
      <c r="I10">
        <f t="shared" si="2"/>
        <v>2</v>
      </c>
      <c r="J10">
        <f t="shared" si="3"/>
        <v>0</v>
      </c>
      <c r="K10">
        <f t="shared" si="4"/>
        <v>0</v>
      </c>
      <c r="L10">
        <f t="shared" si="5"/>
        <v>0</v>
      </c>
    </row>
    <row r="11" spans="1:12" x14ac:dyDescent="0.25">
      <c r="A11">
        <v>1</v>
      </c>
      <c r="B11" s="1">
        <v>45305</v>
      </c>
      <c r="C11" t="s">
        <v>4</v>
      </c>
      <c r="D11">
        <v>10</v>
      </c>
      <c r="E11">
        <v>11</v>
      </c>
      <c r="F11" t="s">
        <v>55</v>
      </c>
      <c r="G11">
        <f t="shared" si="0"/>
        <v>1</v>
      </c>
      <c r="H11">
        <f t="shared" si="1"/>
        <v>0</v>
      </c>
      <c r="I11">
        <f t="shared" si="2"/>
        <v>1</v>
      </c>
      <c r="J11">
        <f t="shared" si="3"/>
        <v>0</v>
      </c>
      <c r="K11">
        <f t="shared" si="4"/>
        <v>0</v>
      </c>
      <c r="L11">
        <f t="shared" si="5"/>
        <v>-1</v>
      </c>
    </row>
    <row r="12" spans="1:12" x14ac:dyDescent="0.25">
      <c r="A12">
        <v>1</v>
      </c>
      <c r="B12" s="1">
        <v>45305</v>
      </c>
      <c r="C12" t="s">
        <v>29</v>
      </c>
      <c r="D12">
        <v>1</v>
      </c>
      <c r="E12">
        <v>1</v>
      </c>
      <c r="F12" t="s">
        <v>74</v>
      </c>
      <c r="G12">
        <f t="shared" si="0"/>
        <v>10</v>
      </c>
      <c r="H12">
        <f t="shared" si="1"/>
        <v>9</v>
      </c>
      <c r="I12">
        <f t="shared" si="2"/>
        <v>19</v>
      </c>
      <c r="J12">
        <f t="shared" si="3"/>
        <v>1</v>
      </c>
      <c r="K12">
        <f t="shared" si="4"/>
        <v>1</v>
      </c>
      <c r="L12">
        <f t="shared" si="5"/>
        <v>0</v>
      </c>
    </row>
    <row r="13" spans="1:12" x14ac:dyDescent="0.25">
      <c r="A13">
        <v>1</v>
      </c>
      <c r="B13" s="1">
        <v>45305</v>
      </c>
      <c r="C13" t="s">
        <v>29</v>
      </c>
      <c r="D13">
        <v>2</v>
      </c>
      <c r="E13">
        <v>2</v>
      </c>
      <c r="F13" t="s">
        <v>77</v>
      </c>
      <c r="G13">
        <f t="shared" si="0"/>
        <v>9</v>
      </c>
      <c r="H13">
        <f t="shared" si="1"/>
        <v>7</v>
      </c>
      <c r="I13">
        <f t="shared" si="2"/>
        <v>16</v>
      </c>
      <c r="J13">
        <f t="shared" ref="J13:J76" si="6">COUNTIF(D13,"=1")</f>
        <v>0</v>
      </c>
      <c r="K13">
        <f t="shared" ref="K13:K76" si="7">COUNTIF(D13,"&lt;4")</f>
        <v>1</v>
      </c>
      <c r="L13">
        <f t="shared" si="5"/>
        <v>0</v>
      </c>
    </row>
    <row r="14" spans="1:12" x14ac:dyDescent="0.25">
      <c r="A14">
        <v>1</v>
      </c>
      <c r="B14" s="1">
        <v>45305</v>
      </c>
      <c r="C14" t="s">
        <v>29</v>
      </c>
      <c r="D14">
        <v>3</v>
      </c>
      <c r="E14">
        <v>3</v>
      </c>
      <c r="F14" t="s">
        <v>75</v>
      </c>
      <c r="G14">
        <f t="shared" si="0"/>
        <v>8</v>
      </c>
      <c r="H14">
        <f t="shared" si="1"/>
        <v>5</v>
      </c>
      <c r="I14">
        <f t="shared" si="2"/>
        <v>13</v>
      </c>
      <c r="J14">
        <f t="shared" si="6"/>
        <v>0</v>
      </c>
      <c r="K14">
        <f t="shared" si="7"/>
        <v>1</v>
      </c>
      <c r="L14">
        <f t="shared" si="5"/>
        <v>0</v>
      </c>
    </row>
    <row r="15" spans="1:12" x14ac:dyDescent="0.25">
      <c r="A15">
        <v>1</v>
      </c>
      <c r="B15" s="1">
        <v>45305</v>
      </c>
      <c r="C15" t="s">
        <v>29</v>
      </c>
      <c r="D15">
        <v>4</v>
      </c>
      <c r="E15">
        <v>4</v>
      </c>
      <c r="F15" t="s">
        <v>80</v>
      </c>
      <c r="G15">
        <f t="shared" si="0"/>
        <v>7</v>
      </c>
      <c r="H15">
        <f t="shared" si="1"/>
        <v>3</v>
      </c>
      <c r="I15">
        <f t="shared" si="2"/>
        <v>10</v>
      </c>
      <c r="J15">
        <f t="shared" si="6"/>
        <v>0</v>
      </c>
      <c r="K15">
        <f t="shared" si="7"/>
        <v>0</v>
      </c>
      <c r="L15">
        <f t="shared" si="5"/>
        <v>0</v>
      </c>
    </row>
    <row r="16" spans="1:12" x14ac:dyDescent="0.25">
      <c r="A16">
        <v>1</v>
      </c>
      <c r="B16" s="1">
        <v>45305</v>
      </c>
      <c r="C16" t="s">
        <v>29</v>
      </c>
      <c r="D16">
        <v>5</v>
      </c>
      <c r="E16">
        <v>5</v>
      </c>
      <c r="F16" t="s">
        <v>87</v>
      </c>
      <c r="G16">
        <f t="shared" si="0"/>
        <v>6</v>
      </c>
      <c r="H16">
        <f t="shared" si="1"/>
        <v>1</v>
      </c>
      <c r="I16">
        <f t="shared" si="2"/>
        <v>7</v>
      </c>
      <c r="J16">
        <f t="shared" si="6"/>
        <v>0</v>
      </c>
      <c r="K16">
        <f t="shared" si="7"/>
        <v>0</v>
      </c>
      <c r="L16">
        <f t="shared" si="5"/>
        <v>0</v>
      </c>
    </row>
    <row r="17" spans="1:12" x14ac:dyDescent="0.25">
      <c r="A17">
        <v>1</v>
      </c>
      <c r="B17" s="1">
        <v>45305</v>
      </c>
      <c r="C17" t="s">
        <v>29</v>
      </c>
      <c r="D17">
        <v>6</v>
      </c>
      <c r="E17">
        <v>11</v>
      </c>
      <c r="F17" t="s">
        <v>61</v>
      </c>
      <c r="G17">
        <f t="shared" si="0"/>
        <v>5</v>
      </c>
      <c r="H17">
        <f t="shared" si="1"/>
        <v>0</v>
      </c>
      <c r="I17">
        <f t="shared" si="2"/>
        <v>5</v>
      </c>
      <c r="J17">
        <f t="shared" si="6"/>
        <v>0</v>
      </c>
      <c r="K17">
        <f t="shared" si="7"/>
        <v>0</v>
      </c>
      <c r="L17">
        <f t="shared" si="5"/>
        <v>-5</v>
      </c>
    </row>
    <row r="18" spans="1:12" x14ac:dyDescent="0.25">
      <c r="A18">
        <v>1</v>
      </c>
      <c r="B18" s="1">
        <v>45305</v>
      </c>
      <c r="C18" t="s">
        <v>29</v>
      </c>
      <c r="D18">
        <v>7</v>
      </c>
      <c r="E18">
        <v>7</v>
      </c>
      <c r="F18" t="s">
        <v>88</v>
      </c>
      <c r="G18">
        <f t="shared" si="0"/>
        <v>4</v>
      </c>
      <c r="H18">
        <f t="shared" si="1"/>
        <v>0</v>
      </c>
      <c r="I18">
        <f t="shared" si="2"/>
        <v>4</v>
      </c>
      <c r="J18">
        <f t="shared" si="6"/>
        <v>0</v>
      </c>
      <c r="K18">
        <f t="shared" si="7"/>
        <v>0</v>
      </c>
      <c r="L18">
        <f t="shared" si="5"/>
        <v>0</v>
      </c>
    </row>
    <row r="19" spans="1:12" x14ac:dyDescent="0.25">
      <c r="A19">
        <v>1</v>
      </c>
      <c r="B19" s="1">
        <v>45305</v>
      </c>
      <c r="C19" t="s">
        <v>29</v>
      </c>
      <c r="D19">
        <v>8</v>
      </c>
      <c r="E19">
        <v>11</v>
      </c>
      <c r="F19" t="s">
        <v>78</v>
      </c>
      <c r="G19">
        <f t="shared" si="0"/>
        <v>3</v>
      </c>
      <c r="H19">
        <f t="shared" si="1"/>
        <v>0</v>
      </c>
      <c r="I19">
        <f t="shared" si="2"/>
        <v>3</v>
      </c>
      <c r="J19">
        <f t="shared" si="6"/>
        <v>0</v>
      </c>
      <c r="K19">
        <f t="shared" si="7"/>
        <v>0</v>
      </c>
      <c r="L19">
        <f t="shared" si="5"/>
        <v>-3</v>
      </c>
    </row>
    <row r="20" spans="1:12" x14ac:dyDescent="0.25">
      <c r="A20">
        <v>1</v>
      </c>
      <c r="B20" s="1">
        <v>45305</v>
      </c>
      <c r="C20" t="s">
        <v>29</v>
      </c>
      <c r="D20">
        <v>9</v>
      </c>
      <c r="E20">
        <v>11</v>
      </c>
      <c r="F20" t="s">
        <v>89</v>
      </c>
      <c r="G20">
        <f t="shared" si="0"/>
        <v>2</v>
      </c>
      <c r="H20">
        <f t="shared" si="1"/>
        <v>0</v>
      </c>
      <c r="I20">
        <f t="shared" si="2"/>
        <v>2</v>
      </c>
      <c r="J20">
        <f t="shared" si="6"/>
        <v>0</v>
      </c>
      <c r="K20">
        <f t="shared" si="7"/>
        <v>0</v>
      </c>
      <c r="L20">
        <f t="shared" si="5"/>
        <v>-2</v>
      </c>
    </row>
    <row r="21" spans="1:12" x14ac:dyDescent="0.25">
      <c r="A21">
        <v>1</v>
      </c>
      <c r="B21" s="1">
        <v>45305</v>
      </c>
      <c r="C21" t="s">
        <v>29</v>
      </c>
      <c r="D21">
        <v>10</v>
      </c>
      <c r="E21">
        <v>11</v>
      </c>
      <c r="F21" t="s">
        <v>79</v>
      </c>
      <c r="G21">
        <f t="shared" si="0"/>
        <v>1</v>
      </c>
      <c r="H21">
        <f t="shared" si="1"/>
        <v>0</v>
      </c>
      <c r="I21">
        <f t="shared" si="2"/>
        <v>1</v>
      </c>
      <c r="J21">
        <f t="shared" si="6"/>
        <v>0</v>
      </c>
      <c r="K21">
        <f t="shared" si="7"/>
        <v>0</v>
      </c>
      <c r="L21">
        <f t="shared" si="5"/>
        <v>-1</v>
      </c>
    </row>
    <row r="22" spans="1:12" x14ac:dyDescent="0.25">
      <c r="A22">
        <v>2</v>
      </c>
      <c r="B22" s="1">
        <v>45312</v>
      </c>
      <c r="C22" t="s">
        <v>4</v>
      </c>
      <c r="D22">
        <v>1</v>
      </c>
      <c r="E22">
        <v>1</v>
      </c>
      <c r="F22" t="s">
        <v>71</v>
      </c>
      <c r="G22">
        <f t="shared" si="0"/>
        <v>10</v>
      </c>
      <c r="H22">
        <f t="shared" si="1"/>
        <v>9</v>
      </c>
      <c r="I22">
        <f t="shared" si="2"/>
        <v>19</v>
      </c>
      <c r="J22">
        <f t="shared" si="6"/>
        <v>1</v>
      </c>
      <c r="K22">
        <f t="shared" si="7"/>
        <v>1</v>
      </c>
      <c r="L22">
        <f t="shared" si="5"/>
        <v>0</v>
      </c>
    </row>
    <row r="23" spans="1:12" x14ac:dyDescent="0.25">
      <c r="A23">
        <v>2</v>
      </c>
      <c r="B23" s="1">
        <v>45312</v>
      </c>
      <c r="C23" t="s">
        <v>4</v>
      </c>
      <c r="D23">
        <v>2</v>
      </c>
      <c r="E23">
        <v>2</v>
      </c>
      <c r="F23" t="s">
        <v>69</v>
      </c>
      <c r="G23">
        <f t="shared" si="0"/>
        <v>9</v>
      </c>
      <c r="H23">
        <f t="shared" si="1"/>
        <v>7</v>
      </c>
      <c r="I23">
        <f t="shared" si="2"/>
        <v>16</v>
      </c>
      <c r="J23">
        <f t="shared" si="6"/>
        <v>0</v>
      </c>
      <c r="K23">
        <f t="shared" si="7"/>
        <v>1</v>
      </c>
      <c r="L23">
        <f t="shared" si="5"/>
        <v>0</v>
      </c>
    </row>
    <row r="24" spans="1:12" x14ac:dyDescent="0.25">
      <c r="A24">
        <v>2</v>
      </c>
      <c r="B24" s="1">
        <v>45312</v>
      </c>
      <c r="C24" t="s">
        <v>4</v>
      </c>
      <c r="D24">
        <v>3</v>
      </c>
      <c r="E24">
        <v>3</v>
      </c>
      <c r="F24" t="s">
        <v>68</v>
      </c>
      <c r="G24">
        <f t="shared" si="0"/>
        <v>8</v>
      </c>
      <c r="H24">
        <f t="shared" si="1"/>
        <v>5</v>
      </c>
      <c r="I24">
        <f t="shared" si="2"/>
        <v>13</v>
      </c>
      <c r="J24">
        <f t="shared" si="6"/>
        <v>0</v>
      </c>
      <c r="K24">
        <f t="shared" si="7"/>
        <v>1</v>
      </c>
      <c r="L24">
        <f t="shared" si="5"/>
        <v>0</v>
      </c>
    </row>
    <row r="25" spans="1:12" x14ac:dyDescent="0.25">
      <c r="A25">
        <v>2</v>
      </c>
      <c r="B25" s="1">
        <v>45312</v>
      </c>
      <c r="C25" t="s">
        <v>4</v>
      </c>
      <c r="D25">
        <v>4</v>
      </c>
      <c r="E25">
        <v>4</v>
      </c>
      <c r="F25" t="s">
        <v>56</v>
      </c>
      <c r="G25">
        <f t="shared" si="0"/>
        <v>7</v>
      </c>
      <c r="H25">
        <f t="shared" si="1"/>
        <v>3</v>
      </c>
      <c r="I25">
        <f t="shared" si="2"/>
        <v>10</v>
      </c>
      <c r="J25">
        <f t="shared" si="6"/>
        <v>0</v>
      </c>
      <c r="K25">
        <f t="shared" si="7"/>
        <v>0</v>
      </c>
      <c r="L25">
        <f t="shared" si="5"/>
        <v>0</v>
      </c>
    </row>
    <row r="26" spans="1:12" x14ac:dyDescent="0.25">
      <c r="A26">
        <v>2</v>
      </c>
      <c r="B26" s="1">
        <v>45312</v>
      </c>
      <c r="C26" t="s">
        <v>4</v>
      </c>
      <c r="D26">
        <v>5</v>
      </c>
      <c r="E26">
        <v>5</v>
      </c>
      <c r="F26" t="s">
        <v>70</v>
      </c>
      <c r="G26">
        <f t="shared" si="0"/>
        <v>6</v>
      </c>
      <c r="H26">
        <f t="shared" si="1"/>
        <v>1</v>
      </c>
      <c r="I26">
        <f t="shared" si="2"/>
        <v>7</v>
      </c>
      <c r="J26">
        <f t="shared" si="6"/>
        <v>0</v>
      </c>
      <c r="K26">
        <f t="shared" si="7"/>
        <v>0</v>
      </c>
      <c r="L26">
        <f t="shared" si="5"/>
        <v>0</v>
      </c>
    </row>
    <row r="27" spans="1:12" x14ac:dyDescent="0.25">
      <c r="A27">
        <v>2</v>
      </c>
      <c r="B27" s="1">
        <v>45312</v>
      </c>
      <c r="C27" t="s">
        <v>4</v>
      </c>
      <c r="D27">
        <v>6</v>
      </c>
      <c r="E27">
        <v>6</v>
      </c>
      <c r="F27" t="s">
        <v>72</v>
      </c>
      <c r="G27">
        <f t="shared" si="0"/>
        <v>5</v>
      </c>
      <c r="H27">
        <f t="shared" si="1"/>
        <v>0</v>
      </c>
      <c r="I27">
        <f t="shared" si="2"/>
        <v>5</v>
      </c>
      <c r="J27">
        <f t="shared" si="6"/>
        <v>0</v>
      </c>
      <c r="K27">
        <f t="shared" si="7"/>
        <v>0</v>
      </c>
      <c r="L27">
        <f t="shared" si="5"/>
        <v>0</v>
      </c>
    </row>
    <row r="28" spans="1:12" x14ac:dyDescent="0.25">
      <c r="A28">
        <v>2</v>
      </c>
      <c r="B28" s="1">
        <v>45312</v>
      </c>
      <c r="C28" t="s">
        <v>4</v>
      </c>
      <c r="D28">
        <v>7</v>
      </c>
      <c r="E28">
        <v>7</v>
      </c>
      <c r="F28" t="s">
        <v>73</v>
      </c>
      <c r="G28">
        <f t="shared" si="0"/>
        <v>4</v>
      </c>
      <c r="H28">
        <f t="shared" si="1"/>
        <v>0</v>
      </c>
      <c r="I28">
        <f t="shared" si="2"/>
        <v>4</v>
      </c>
      <c r="J28">
        <f t="shared" si="6"/>
        <v>0</v>
      </c>
      <c r="K28">
        <f t="shared" si="7"/>
        <v>0</v>
      </c>
      <c r="L28">
        <f t="shared" si="5"/>
        <v>0</v>
      </c>
    </row>
    <row r="29" spans="1:12" x14ac:dyDescent="0.25">
      <c r="A29">
        <v>2</v>
      </c>
      <c r="B29" s="1">
        <v>45312</v>
      </c>
      <c r="C29" t="s">
        <v>4</v>
      </c>
      <c r="D29">
        <v>8</v>
      </c>
      <c r="E29">
        <v>9</v>
      </c>
      <c r="F29" t="s">
        <v>21</v>
      </c>
      <c r="G29">
        <f t="shared" si="0"/>
        <v>3</v>
      </c>
      <c r="H29">
        <f t="shared" si="1"/>
        <v>0</v>
      </c>
      <c r="I29">
        <f t="shared" si="2"/>
        <v>3</v>
      </c>
      <c r="J29">
        <f t="shared" si="6"/>
        <v>0</v>
      </c>
      <c r="K29">
        <f t="shared" si="7"/>
        <v>0</v>
      </c>
      <c r="L29">
        <f t="shared" si="5"/>
        <v>-1</v>
      </c>
    </row>
    <row r="30" spans="1:12" x14ac:dyDescent="0.25">
      <c r="A30">
        <v>2</v>
      </c>
      <c r="B30" s="1">
        <v>45312</v>
      </c>
      <c r="C30" t="s">
        <v>4</v>
      </c>
      <c r="D30">
        <v>9</v>
      </c>
      <c r="E30">
        <v>10</v>
      </c>
      <c r="F30" t="s">
        <v>55</v>
      </c>
      <c r="G30">
        <f t="shared" si="0"/>
        <v>2</v>
      </c>
      <c r="H30">
        <f t="shared" si="1"/>
        <v>0</v>
      </c>
      <c r="I30">
        <f t="shared" si="2"/>
        <v>2</v>
      </c>
      <c r="J30">
        <f t="shared" si="6"/>
        <v>0</v>
      </c>
      <c r="K30">
        <f t="shared" si="7"/>
        <v>0</v>
      </c>
      <c r="L30">
        <f t="shared" si="5"/>
        <v>-1</v>
      </c>
    </row>
    <row r="31" spans="1:12" x14ac:dyDescent="0.25">
      <c r="A31">
        <v>2</v>
      </c>
      <c r="B31" s="1">
        <v>45312</v>
      </c>
      <c r="C31" t="s">
        <v>4</v>
      </c>
      <c r="D31">
        <v>10</v>
      </c>
      <c r="E31">
        <v>8</v>
      </c>
      <c r="F31" t="s">
        <v>86</v>
      </c>
      <c r="G31">
        <f t="shared" si="0"/>
        <v>1</v>
      </c>
      <c r="H31">
        <f t="shared" si="1"/>
        <v>0</v>
      </c>
      <c r="I31">
        <f t="shared" si="2"/>
        <v>1</v>
      </c>
      <c r="J31">
        <f t="shared" si="6"/>
        <v>0</v>
      </c>
      <c r="K31">
        <f t="shared" si="7"/>
        <v>0</v>
      </c>
      <c r="L31">
        <f t="shared" si="5"/>
        <v>2</v>
      </c>
    </row>
    <row r="32" spans="1:12" x14ac:dyDescent="0.25">
      <c r="A32">
        <v>2</v>
      </c>
      <c r="B32" s="1">
        <v>45312</v>
      </c>
      <c r="C32" t="s">
        <v>29</v>
      </c>
      <c r="D32">
        <v>1</v>
      </c>
      <c r="E32">
        <v>1</v>
      </c>
      <c r="F32" t="s">
        <v>74</v>
      </c>
      <c r="G32">
        <f t="shared" si="0"/>
        <v>10</v>
      </c>
      <c r="H32">
        <f t="shared" si="1"/>
        <v>9</v>
      </c>
      <c r="I32">
        <f t="shared" si="2"/>
        <v>19</v>
      </c>
      <c r="J32">
        <f t="shared" si="6"/>
        <v>1</v>
      </c>
      <c r="K32">
        <f t="shared" si="7"/>
        <v>1</v>
      </c>
      <c r="L32">
        <f t="shared" si="5"/>
        <v>0</v>
      </c>
    </row>
    <row r="33" spans="1:12" x14ac:dyDescent="0.25">
      <c r="A33">
        <v>2</v>
      </c>
      <c r="B33" s="1">
        <v>45312</v>
      </c>
      <c r="C33" t="s">
        <v>29</v>
      </c>
      <c r="D33">
        <v>2</v>
      </c>
      <c r="E33">
        <v>3</v>
      </c>
      <c r="F33" t="s">
        <v>75</v>
      </c>
      <c r="G33">
        <f t="shared" si="0"/>
        <v>9</v>
      </c>
      <c r="H33">
        <f t="shared" si="1"/>
        <v>7</v>
      </c>
      <c r="I33">
        <f t="shared" si="2"/>
        <v>16</v>
      </c>
      <c r="J33">
        <f t="shared" si="6"/>
        <v>0</v>
      </c>
      <c r="K33">
        <f t="shared" si="7"/>
        <v>1</v>
      </c>
      <c r="L33">
        <f t="shared" si="5"/>
        <v>-1</v>
      </c>
    </row>
    <row r="34" spans="1:12" x14ac:dyDescent="0.25">
      <c r="A34">
        <v>2</v>
      </c>
      <c r="B34" s="1">
        <v>45312</v>
      </c>
      <c r="C34" t="s">
        <v>29</v>
      </c>
      <c r="D34">
        <v>3</v>
      </c>
      <c r="E34">
        <v>2</v>
      </c>
      <c r="F34" t="s">
        <v>77</v>
      </c>
      <c r="G34">
        <f t="shared" si="0"/>
        <v>8</v>
      </c>
      <c r="H34">
        <f t="shared" si="1"/>
        <v>5</v>
      </c>
      <c r="I34">
        <f t="shared" si="2"/>
        <v>13</v>
      </c>
      <c r="J34">
        <f t="shared" si="6"/>
        <v>0</v>
      </c>
      <c r="K34">
        <f t="shared" si="7"/>
        <v>1</v>
      </c>
      <c r="L34">
        <f t="shared" si="5"/>
        <v>1</v>
      </c>
    </row>
    <row r="35" spans="1:12" x14ac:dyDescent="0.25">
      <c r="A35">
        <v>2</v>
      </c>
      <c r="B35" s="1">
        <v>45312</v>
      </c>
      <c r="C35" t="s">
        <v>29</v>
      </c>
      <c r="D35">
        <v>4</v>
      </c>
      <c r="E35">
        <v>4</v>
      </c>
      <c r="F35" t="s">
        <v>80</v>
      </c>
      <c r="G35">
        <f t="shared" si="0"/>
        <v>7</v>
      </c>
      <c r="H35">
        <f t="shared" si="1"/>
        <v>3</v>
      </c>
      <c r="I35">
        <f t="shared" si="2"/>
        <v>10</v>
      </c>
      <c r="J35">
        <f t="shared" si="6"/>
        <v>0</v>
      </c>
      <c r="K35">
        <f t="shared" si="7"/>
        <v>0</v>
      </c>
      <c r="L35">
        <f t="shared" si="5"/>
        <v>0</v>
      </c>
    </row>
    <row r="36" spans="1:12" x14ac:dyDescent="0.25">
      <c r="A36">
        <v>2</v>
      </c>
      <c r="B36" s="1">
        <v>45312</v>
      </c>
      <c r="C36" t="s">
        <v>29</v>
      </c>
      <c r="D36">
        <v>5</v>
      </c>
      <c r="E36">
        <v>6</v>
      </c>
      <c r="F36" t="s">
        <v>61</v>
      </c>
      <c r="G36">
        <f t="shared" si="0"/>
        <v>6</v>
      </c>
      <c r="H36">
        <f t="shared" si="1"/>
        <v>1</v>
      </c>
      <c r="I36">
        <f t="shared" si="2"/>
        <v>7</v>
      </c>
      <c r="J36">
        <f t="shared" si="6"/>
        <v>0</v>
      </c>
      <c r="K36">
        <f t="shared" si="7"/>
        <v>0</v>
      </c>
      <c r="L36">
        <f t="shared" si="5"/>
        <v>-1</v>
      </c>
    </row>
    <row r="37" spans="1:12" x14ac:dyDescent="0.25">
      <c r="A37">
        <v>2</v>
      </c>
      <c r="B37" s="1">
        <v>45312</v>
      </c>
      <c r="C37" t="s">
        <v>29</v>
      </c>
      <c r="D37">
        <v>6</v>
      </c>
      <c r="E37">
        <v>5</v>
      </c>
      <c r="F37" t="s">
        <v>87</v>
      </c>
      <c r="G37">
        <f t="shared" si="0"/>
        <v>5</v>
      </c>
      <c r="H37">
        <f t="shared" si="1"/>
        <v>0</v>
      </c>
      <c r="I37">
        <f t="shared" si="2"/>
        <v>5</v>
      </c>
      <c r="J37">
        <f t="shared" si="6"/>
        <v>0</v>
      </c>
      <c r="K37">
        <f t="shared" si="7"/>
        <v>0</v>
      </c>
      <c r="L37">
        <f t="shared" si="5"/>
        <v>1</v>
      </c>
    </row>
    <row r="38" spans="1:12" x14ac:dyDescent="0.25">
      <c r="A38">
        <v>2</v>
      </c>
      <c r="B38" s="1">
        <v>45312</v>
      </c>
      <c r="C38" t="s">
        <v>29</v>
      </c>
      <c r="D38">
        <v>7</v>
      </c>
      <c r="E38">
        <v>7</v>
      </c>
      <c r="F38" t="s">
        <v>88</v>
      </c>
      <c r="G38">
        <f t="shared" si="0"/>
        <v>4</v>
      </c>
      <c r="H38">
        <f t="shared" si="1"/>
        <v>0</v>
      </c>
      <c r="I38">
        <f t="shared" si="2"/>
        <v>4</v>
      </c>
      <c r="J38">
        <f t="shared" si="6"/>
        <v>0</v>
      </c>
      <c r="K38">
        <f t="shared" si="7"/>
        <v>0</v>
      </c>
      <c r="L38">
        <f t="shared" si="5"/>
        <v>0</v>
      </c>
    </row>
    <row r="39" spans="1:12" x14ac:dyDescent="0.25">
      <c r="A39">
        <v>2</v>
      </c>
      <c r="B39" s="1">
        <v>45312</v>
      </c>
      <c r="C39" t="s">
        <v>29</v>
      </c>
      <c r="D39">
        <v>8</v>
      </c>
      <c r="E39">
        <v>8</v>
      </c>
      <c r="F39" t="s">
        <v>78</v>
      </c>
      <c r="G39">
        <f t="shared" si="0"/>
        <v>3</v>
      </c>
      <c r="H39">
        <f t="shared" si="1"/>
        <v>0</v>
      </c>
      <c r="I39">
        <f t="shared" si="2"/>
        <v>3</v>
      </c>
      <c r="J39">
        <f t="shared" si="6"/>
        <v>0</v>
      </c>
      <c r="K39">
        <f t="shared" si="7"/>
        <v>0</v>
      </c>
      <c r="L39">
        <f t="shared" si="5"/>
        <v>0</v>
      </c>
    </row>
    <row r="40" spans="1:12" x14ac:dyDescent="0.25">
      <c r="A40">
        <v>2</v>
      </c>
      <c r="B40" s="1">
        <v>45312</v>
      </c>
      <c r="C40" t="s">
        <v>29</v>
      </c>
      <c r="D40">
        <v>9</v>
      </c>
      <c r="E40">
        <v>9</v>
      </c>
      <c r="F40" t="s">
        <v>89</v>
      </c>
      <c r="G40">
        <f t="shared" si="0"/>
        <v>2</v>
      </c>
      <c r="H40">
        <f t="shared" si="1"/>
        <v>0</v>
      </c>
      <c r="I40">
        <f t="shared" si="2"/>
        <v>2</v>
      </c>
      <c r="J40">
        <f t="shared" si="6"/>
        <v>0</v>
      </c>
      <c r="K40">
        <f t="shared" si="7"/>
        <v>0</v>
      </c>
      <c r="L40">
        <f t="shared" si="5"/>
        <v>0</v>
      </c>
    </row>
    <row r="41" spans="1:12" x14ac:dyDescent="0.25">
      <c r="A41">
        <v>2</v>
      </c>
      <c r="B41" s="1">
        <v>45312</v>
      </c>
      <c r="C41" t="s">
        <v>29</v>
      </c>
      <c r="D41">
        <v>10</v>
      </c>
      <c r="E41">
        <v>10</v>
      </c>
      <c r="F41" t="s">
        <v>79</v>
      </c>
      <c r="G41">
        <f t="shared" si="0"/>
        <v>1</v>
      </c>
      <c r="H41">
        <f t="shared" si="1"/>
        <v>0</v>
      </c>
      <c r="I41">
        <f t="shared" si="2"/>
        <v>1</v>
      </c>
      <c r="J41">
        <f t="shared" si="6"/>
        <v>0</v>
      </c>
      <c r="K41">
        <f t="shared" si="7"/>
        <v>0</v>
      </c>
      <c r="L41">
        <f t="shared" si="5"/>
        <v>0</v>
      </c>
    </row>
    <row r="42" spans="1:12" x14ac:dyDescent="0.25">
      <c r="A42">
        <v>3</v>
      </c>
      <c r="B42" s="1">
        <v>45319</v>
      </c>
      <c r="C42" t="s">
        <v>4</v>
      </c>
      <c r="D42">
        <v>1</v>
      </c>
      <c r="E42">
        <v>1</v>
      </c>
      <c r="F42" t="s">
        <v>71</v>
      </c>
      <c r="G42">
        <f t="shared" ref="G42:G81" si="8">11-D42</f>
        <v>10</v>
      </c>
      <c r="H42">
        <f t="shared" si="1"/>
        <v>9</v>
      </c>
      <c r="I42">
        <f t="shared" si="2"/>
        <v>19</v>
      </c>
      <c r="J42">
        <f t="shared" si="6"/>
        <v>1</v>
      </c>
      <c r="K42">
        <f t="shared" si="7"/>
        <v>1</v>
      </c>
      <c r="L42">
        <f t="shared" si="5"/>
        <v>0</v>
      </c>
    </row>
    <row r="43" spans="1:12" x14ac:dyDescent="0.25">
      <c r="A43">
        <v>3</v>
      </c>
      <c r="B43" s="1">
        <v>45319</v>
      </c>
      <c r="C43" t="s">
        <v>4</v>
      </c>
      <c r="D43">
        <v>2</v>
      </c>
      <c r="E43">
        <v>2</v>
      </c>
      <c r="F43" t="s">
        <v>69</v>
      </c>
      <c r="G43">
        <f t="shared" si="8"/>
        <v>9</v>
      </c>
      <c r="H43">
        <f t="shared" si="1"/>
        <v>7</v>
      </c>
      <c r="I43">
        <f t="shared" si="2"/>
        <v>16</v>
      </c>
      <c r="J43">
        <f t="shared" si="6"/>
        <v>0</v>
      </c>
      <c r="K43">
        <f t="shared" si="7"/>
        <v>1</v>
      </c>
      <c r="L43">
        <f t="shared" si="5"/>
        <v>0</v>
      </c>
    </row>
    <row r="44" spans="1:12" x14ac:dyDescent="0.25">
      <c r="A44">
        <v>3</v>
      </c>
      <c r="B44" s="1">
        <v>45319</v>
      </c>
      <c r="C44" t="s">
        <v>4</v>
      </c>
      <c r="D44">
        <v>3</v>
      </c>
      <c r="E44">
        <v>3</v>
      </c>
      <c r="F44" t="s">
        <v>68</v>
      </c>
      <c r="G44">
        <f t="shared" si="8"/>
        <v>8</v>
      </c>
      <c r="H44">
        <f t="shared" si="1"/>
        <v>5</v>
      </c>
      <c r="I44">
        <f t="shared" si="2"/>
        <v>13</v>
      </c>
      <c r="J44">
        <f t="shared" si="6"/>
        <v>0</v>
      </c>
      <c r="K44">
        <f t="shared" si="7"/>
        <v>1</v>
      </c>
      <c r="L44">
        <f t="shared" si="5"/>
        <v>0</v>
      </c>
    </row>
    <row r="45" spans="1:12" x14ac:dyDescent="0.25">
      <c r="A45">
        <v>3</v>
      </c>
      <c r="B45" s="1">
        <v>45319</v>
      </c>
      <c r="C45" t="s">
        <v>4</v>
      </c>
      <c r="D45">
        <v>4</v>
      </c>
      <c r="E45">
        <v>4</v>
      </c>
      <c r="F45" t="s">
        <v>56</v>
      </c>
      <c r="G45">
        <f t="shared" si="8"/>
        <v>7</v>
      </c>
      <c r="H45">
        <f t="shared" si="1"/>
        <v>3</v>
      </c>
      <c r="I45">
        <f t="shared" si="2"/>
        <v>10</v>
      </c>
      <c r="J45">
        <f t="shared" si="6"/>
        <v>0</v>
      </c>
      <c r="K45">
        <f t="shared" si="7"/>
        <v>0</v>
      </c>
      <c r="L45">
        <f t="shared" si="5"/>
        <v>0</v>
      </c>
    </row>
    <row r="46" spans="1:12" x14ac:dyDescent="0.25">
      <c r="A46">
        <v>3</v>
      </c>
      <c r="B46" s="1">
        <v>45319</v>
      </c>
      <c r="C46" t="s">
        <v>4</v>
      </c>
      <c r="D46">
        <v>5</v>
      </c>
      <c r="E46">
        <v>5</v>
      </c>
      <c r="F46" t="s">
        <v>70</v>
      </c>
      <c r="G46">
        <f t="shared" si="8"/>
        <v>6</v>
      </c>
      <c r="H46">
        <f t="shared" si="1"/>
        <v>1</v>
      </c>
      <c r="I46">
        <f t="shared" si="2"/>
        <v>7</v>
      </c>
      <c r="J46">
        <f t="shared" si="6"/>
        <v>0</v>
      </c>
      <c r="K46">
        <f t="shared" si="7"/>
        <v>0</v>
      </c>
      <c r="L46">
        <f t="shared" si="5"/>
        <v>0</v>
      </c>
    </row>
    <row r="47" spans="1:12" x14ac:dyDescent="0.25">
      <c r="A47">
        <v>3</v>
      </c>
      <c r="B47" s="1">
        <v>45319</v>
      </c>
      <c r="C47" t="s">
        <v>4</v>
      </c>
      <c r="D47">
        <v>6</v>
      </c>
      <c r="E47">
        <v>6</v>
      </c>
      <c r="F47" t="s">
        <v>72</v>
      </c>
      <c r="G47">
        <f t="shared" si="8"/>
        <v>5</v>
      </c>
      <c r="H47">
        <f t="shared" si="1"/>
        <v>0</v>
      </c>
      <c r="I47">
        <f t="shared" si="2"/>
        <v>5</v>
      </c>
      <c r="J47">
        <f t="shared" si="6"/>
        <v>0</v>
      </c>
      <c r="K47">
        <f t="shared" si="7"/>
        <v>0</v>
      </c>
      <c r="L47">
        <f t="shared" si="5"/>
        <v>0</v>
      </c>
    </row>
    <row r="48" spans="1:12" x14ac:dyDescent="0.25">
      <c r="A48">
        <v>3</v>
      </c>
      <c r="B48" s="1">
        <v>45319</v>
      </c>
      <c r="C48" t="s">
        <v>4</v>
      </c>
      <c r="D48">
        <v>7</v>
      </c>
      <c r="E48">
        <v>7</v>
      </c>
      <c r="F48" t="s">
        <v>73</v>
      </c>
      <c r="G48">
        <f t="shared" si="8"/>
        <v>4</v>
      </c>
      <c r="H48">
        <f t="shared" si="1"/>
        <v>0</v>
      </c>
      <c r="I48">
        <f t="shared" si="2"/>
        <v>4</v>
      </c>
      <c r="J48">
        <f t="shared" si="6"/>
        <v>0</v>
      </c>
      <c r="K48">
        <f t="shared" si="7"/>
        <v>0</v>
      </c>
      <c r="L48">
        <f t="shared" si="5"/>
        <v>0</v>
      </c>
    </row>
    <row r="49" spans="1:12" x14ac:dyDescent="0.25">
      <c r="A49">
        <v>3</v>
      </c>
      <c r="B49" s="1">
        <v>45319</v>
      </c>
      <c r="C49" t="s">
        <v>4</v>
      </c>
      <c r="D49">
        <v>8</v>
      </c>
      <c r="E49">
        <v>11</v>
      </c>
      <c r="F49" t="s">
        <v>54</v>
      </c>
      <c r="G49">
        <f t="shared" si="8"/>
        <v>3</v>
      </c>
      <c r="H49">
        <f t="shared" si="1"/>
        <v>0</v>
      </c>
      <c r="I49">
        <f t="shared" si="2"/>
        <v>3</v>
      </c>
      <c r="J49">
        <f t="shared" si="6"/>
        <v>0</v>
      </c>
      <c r="K49">
        <f t="shared" si="7"/>
        <v>0</v>
      </c>
      <c r="L49">
        <f t="shared" si="5"/>
        <v>-3</v>
      </c>
    </row>
    <row r="50" spans="1:12" x14ac:dyDescent="0.25">
      <c r="A50">
        <v>3</v>
      </c>
      <c r="B50" s="1">
        <v>45319</v>
      </c>
      <c r="C50" t="s">
        <v>4</v>
      </c>
      <c r="D50">
        <v>9</v>
      </c>
      <c r="E50">
        <v>9</v>
      </c>
      <c r="F50" t="s">
        <v>55</v>
      </c>
      <c r="G50">
        <f t="shared" si="8"/>
        <v>2</v>
      </c>
      <c r="H50">
        <f t="shared" si="1"/>
        <v>0</v>
      </c>
      <c r="I50">
        <f t="shared" si="2"/>
        <v>2</v>
      </c>
      <c r="J50">
        <f t="shared" si="6"/>
        <v>0</v>
      </c>
      <c r="K50">
        <f t="shared" si="7"/>
        <v>0</v>
      </c>
      <c r="L50">
        <f t="shared" si="5"/>
        <v>0</v>
      </c>
    </row>
    <row r="51" spans="1:12" x14ac:dyDescent="0.25">
      <c r="A51">
        <v>3</v>
      </c>
      <c r="B51" s="1">
        <v>45319</v>
      </c>
      <c r="C51" t="s">
        <v>4</v>
      </c>
      <c r="D51">
        <v>10</v>
      </c>
      <c r="E51">
        <v>11</v>
      </c>
      <c r="F51" t="s">
        <v>23</v>
      </c>
      <c r="G51">
        <f t="shared" si="8"/>
        <v>1</v>
      </c>
      <c r="H51">
        <f t="shared" si="1"/>
        <v>0</v>
      </c>
      <c r="I51">
        <f t="shared" si="2"/>
        <v>1</v>
      </c>
      <c r="J51">
        <f t="shared" si="6"/>
        <v>0</v>
      </c>
      <c r="K51">
        <f t="shared" si="7"/>
        <v>0</v>
      </c>
      <c r="L51">
        <f t="shared" si="5"/>
        <v>-1</v>
      </c>
    </row>
    <row r="52" spans="1:12" x14ac:dyDescent="0.25">
      <c r="A52">
        <v>3</v>
      </c>
      <c r="B52" s="1">
        <v>45319</v>
      </c>
      <c r="C52" t="s">
        <v>29</v>
      </c>
      <c r="D52">
        <v>1</v>
      </c>
      <c r="E52">
        <v>1</v>
      </c>
      <c r="F52" t="s">
        <v>74</v>
      </c>
      <c r="G52">
        <f t="shared" si="8"/>
        <v>10</v>
      </c>
      <c r="H52">
        <f t="shared" si="1"/>
        <v>9</v>
      </c>
      <c r="I52">
        <f t="shared" si="2"/>
        <v>19</v>
      </c>
      <c r="J52">
        <f t="shared" si="6"/>
        <v>1</v>
      </c>
      <c r="K52">
        <f t="shared" si="7"/>
        <v>1</v>
      </c>
      <c r="L52">
        <f t="shared" si="5"/>
        <v>0</v>
      </c>
    </row>
    <row r="53" spans="1:12" x14ac:dyDescent="0.25">
      <c r="A53">
        <v>3</v>
      </c>
      <c r="B53" s="1">
        <v>45319</v>
      </c>
      <c r="C53" t="s">
        <v>29</v>
      </c>
      <c r="D53">
        <v>2</v>
      </c>
      <c r="E53">
        <v>2</v>
      </c>
      <c r="F53" t="s">
        <v>75</v>
      </c>
      <c r="G53">
        <f t="shared" si="8"/>
        <v>9</v>
      </c>
      <c r="H53">
        <f t="shared" si="1"/>
        <v>7</v>
      </c>
      <c r="I53">
        <f t="shared" si="2"/>
        <v>16</v>
      </c>
      <c r="J53">
        <f t="shared" si="6"/>
        <v>0</v>
      </c>
      <c r="K53">
        <f t="shared" si="7"/>
        <v>1</v>
      </c>
      <c r="L53">
        <f t="shared" si="5"/>
        <v>0</v>
      </c>
    </row>
    <row r="54" spans="1:12" x14ac:dyDescent="0.25">
      <c r="A54">
        <v>3</v>
      </c>
      <c r="B54" s="1">
        <v>45319</v>
      </c>
      <c r="C54" t="s">
        <v>29</v>
      </c>
      <c r="D54">
        <v>3</v>
      </c>
      <c r="E54">
        <v>3</v>
      </c>
      <c r="F54" t="s">
        <v>77</v>
      </c>
      <c r="G54">
        <f t="shared" si="8"/>
        <v>8</v>
      </c>
      <c r="H54">
        <f t="shared" si="1"/>
        <v>5</v>
      </c>
      <c r="I54">
        <f t="shared" si="2"/>
        <v>13</v>
      </c>
      <c r="J54">
        <f t="shared" si="6"/>
        <v>0</v>
      </c>
      <c r="K54">
        <f t="shared" si="7"/>
        <v>1</v>
      </c>
      <c r="L54">
        <f t="shared" si="5"/>
        <v>0</v>
      </c>
    </row>
    <row r="55" spans="1:12" x14ac:dyDescent="0.25">
      <c r="A55">
        <v>3</v>
      </c>
      <c r="B55" s="1">
        <v>45319</v>
      </c>
      <c r="C55" t="s">
        <v>29</v>
      </c>
      <c r="D55">
        <v>4</v>
      </c>
      <c r="E55">
        <v>5</v>
      </c>
      <c r="F55" t="s">
        <v>61</v>
      </c>
      <c r="G55">
        <f t="shared" si="8"/>
        <v>7</v>
      </c>
      <c r="H55">
        <f t="shared" si="1"/>
        <v>3</v>
      </c>
      <c r="I55">
        <f t="shared" si="2"/>
        <v>10</v>
      </c>
      <c r="J55">
        <f t="shared" si="6"/>
        <v>0</v>
      </c>
      <c r="K55">
        <f t="shared" si="7"/>
        <v>0</v>
      </c>
      <c r="L55">
        <f t="shared" si="5"/>
        <v>-1</v>
      </c>
    </row>
    <row r="56" spans="1:12" x14ac:dyDescent="0.25">
      <c r="A56">
        <v>3</v>
      </c>
      <c r="B56" s="1">
        <v>45319</v>
      </c>
      <c r="C56" t="s">
        <v>29</v>
      </c>
      <c r="D56">
        <v>5</v>
      </c>
      <c r="E56">
        <v>8</v>
      </c>
      <c r="F56" t="s">
        <v>78</v>
      </c>
      <c r="G56">
        <f t="shared" si="8"/>
        <v>6</v>
      </c>
      <c r="H56">
        <f t="shared" si="1"/>
        <v>1</v>
      </c>
      <c r="I56">
        <f t="shared" si="2"/>
        <v>7</v>
      </c>
      <c r="J56">
        <f t="shared" si="6"/>
        <v>0</v>
      </c>
      <c r="K56">
        <f t="shared" si="7"/>
        <v>0</v>
      </c>
      <c r="L56">
        <f t="shared" si="5"/>
        <v>-3</v>
      </c>
    </row>
    <row r="57" spans="1:12" x14ac:dyDescent="0.25">
      <c r="A57">
        <v>3</v>
      </c>
      <c r="B57" s="1">
        <v>45319</v>
      </c>
      <c r="C57" t="s">
        <v>29</v>
      </c>
      <c r="D57">
        <v>6</v>
      </c>
      <c r="E57">
        <v>11</v>
      </c>
      <c r="F57" t="s">
        <v>76</v>
      </c>
      <c r="G57">
        <f t="shared" si="8"/>
        <v>5</v>
      </c>
      <c r="H57">
        <f t="shared" si="1"/>
        <v>0</v>
      </c>
      <c r="I57">
        <f t="shared" si="2"/>
        <v>5</v>
      </c>
      <c r="J57">
        <f t="shared" si="6"/>
        <v>0</v>
      </c>
      <c r="K57">
        <f t="shared" si="7"/>
        <v>0</v>
      </c>
      <c r="L57">
        <f t="shared" si="5"/>
        <v>-5</v>
      </c>
    </row>
    <row r="58" spans="1:12" x14ac:dyDescent="0.25">
      <c r="A58">
        <v>3</v>
      </c>
      <c r="B58" s="1">
        <v>45319</v>
      </c>
      <c r="C58" t="s">
        <v>29</v>
      </c>
      <c r="D58">
        <v>7</v>
      </c>
      <c r="E58">
        <v>4</v>
      </c>
      <c r="F58" t="s">
        <v>80</v>
      </c>
      <c r="G58">
        <f t="shared" si="8"/>
        <v>4</v>
      </c>
      <c r="H58">
        <f t="shared" si="1"/>
        <v>0</v>
      </c>
      <c r="I58">
        <f t="shared" si="2"/>
        <v>4</v>
      </c>
      <c r="J58">
        <f t="shared" si="6"/>
        <v>0</v>
      </c>
      <c r="K58">
        <f t="shared" si="7"/>
        <v>0</v>
      </c>
      <c r="L58">
        <f t="shared" si="5"/>
        <v>3</v>
      </c>
    </row>
    <row r="59" spans="1:12" x14ac:dyDescent="0.25">
      <c r="A59">
        <v>3</v>
      </c>
      <c r="B59" s="1">
        <v>45319</v>
      </c>
      <c r="C59" t="s">
        <v>29</v>
      </c>
      <c r="D59">
        <v>8</v>
      </c>
      <c r="E59">
        <v>9</v>
      </c>
      <c r="F59" t="s">
        <v>89</v>
      </c>
      <c r="G59">
        <f t="shared" si="8"/>
        <v>3</v>
      </c>
      <c r="H59">
        <f t="shared" si="1"/>
        <v>0</v>
      </c>
      <c r="I59">
        <f t="shared" si="2"/>
        <v>3</v>
      </c>
      <c r="J59">
        <f t="shared" si="6"/>
        <v>0</v>
      </c>
      <c r="K59">
        <f t="shared" si="7"/>
        <v>0</v>
      </c>
      <c r="L59">
        <f t="shared" si="5"/>
        <v>-1</v>
      </c>
    </row>
    <row r="60" spans="1:12" x14ac:dyDescent="0.25">
      <c r="A60">
        <v>3</v>
      </c>
      <c r="B60" s="1">
        <v>45319</v>
      </c>
      <c r="C60" t="s">
        <v>29</v>
      </c>
      <c r="D60">
        <v>9</v>
      </c>
      <c r="E60">
        <v>10</v>
      </c>
      <c r="F60" t="s">
        <v>79</v>
      </c>
      <c r="G60">
        <f t="shared" si="8"/>
        <v>2</v>
      </c>
      <c r="H60">
        <f t="shared" si="1"/>
        <v>0</v>
      </c>
      <c r="I60">
        <f t="shared" si="2"/>
        <v>2</v>
      </c>
      <c r="J60">
        <f t="shared" si="6"/>
        <v>0</v>
      </c>
      <c r="K60">
        <f t="shared" si="7"/>
        <v>0</v>
      </c>
      <c r="L60">
        <f t="shared" si="5"/>
        <v>-1</v>
      </c>
    </row>
    <row r="61" spans="1:12" x14ac:dyDescent="0.25">
      <c r="A61">
        <v>3</v>
      </c>
      <c r="B61" s="1">
        <v>45319</v>
      </c>
      <c r="C61" t="s">
        <v>29</v>
      </c>
      <c r="D61">
        <v>10</v>
      </c>
      <c r="E61">
        <v>11</v>
      </c>
      <c r="F61" t="s">
        <v>90</v>
      </c>
      <c r="G61">
        <f t="shared" si="8"/>
        <v>1</v>
      </c>
      <c r="H61">
        <f t="shared" si="1"/>
        <v>0</v>
      </c>
      <c r="I61">
        <f t="shared" si="2"/>
        <v>1</v>
      </c>
      <c r="J61">
        <f t="shared" si="6"/>
        <v>0</v>
      </c>
      <c r="K61">
        <f t="shared" si="7"/>
        <v>0</v>
      </c>
      <c r="L61">
        <f t="shared" si="5"/>
        <v>-1</v>
      </c>
    </row>
    <row r="62" spans="1:12" x14ac:dyDescent="0.25">
      <c r="A62">
        <v>4</v>
      </c>
      <c r="B62" s="1">
        <v>45326</v>
      </c>
      <c r="C62" t="s">
        <v>4</v>
      </c>
      <c r="D62">
        <v>1</v>
      </c>
      <c r="E62">
        <v>4</v>
      </c>
      <c r="F62" t="s">
        <v>56</v>
      </c>
      <c r="G62">
        <f t="shared" si="8"/>
        <v>10</v>
      </c>
      <c r="H62">
        <f t="shared" si="1"/>
        <v>9</v>
      </c>
      <c r="I62">
        <f t="shared" si="2"/>
        <v>19</v>
      </c>
      <c r="J62">
        <f t="shared" si="6"/>
        <v>1</v>
      </c>
      <c r="K62">
        <f t="shared" si="7"/>
        <v>1</v>
      </c>
      <c r="L62">
        <f t="shared" si="5"/>
        <v>-3</v>
      </c>
    </row>
    <row r="63" spans="1:12" x14ac:dyDescent="0.25">
      <c r="A63">
        <v>4</v>
      </c>
      <c r="B63" s="1">
        <v>45326</v>
      </c>
      <c r="C63" t="s">
        <v>4</v>
      </c>
      <c r="D63">
        <v>2</v>
      </c>
      <c r="E63">
        <v>2</v>
      </c>
      <c r="F63" t="s">
        <v>69</v>
      </c>
      <c r="G63">
        <f t="shared" si="8"/>
        <v>9</v>
      </c>
      <c r="H63">
        <f t="shared" si="1"/>
        <v>7</v>
      </c>
      <c r="I63">
        <f t="shared" si="2"/>
        <v>16</v>
      </c>
      <c r="J63">
        <f t="shared" si="6"/>
        <v>0</v>
      </c>
      <c r="K63">
        <f t="shared" si="7"/>
        <v>1</v>
      </c>
      <c r="L63">
        <f t="shared" si="5"/>
        <v>0</v>
      </c>
    </row>
    <row r="64" spans="1:12" x14ac:dyDescent="0.25">
      <c r="A64">
        <v>4</v>
      </c>
      <c r="B64" s="1">
        <v>45326</v>
      </c>
      <c r="C64" t="s">
        <v>4</v>
      </c>
      <c r="D64">
        <v>3</v>
      </c>
      <c r="E64">
        <v>3</v>
      </c>
      <c r="F64" t="s">
        <v>68</v>
      </c>
      <c r="G64">
        <f t="shared" si="8"/>
        <v>8</v>
      </c>
      <c r="H64">
        <f t="shared" si="1"/>
        <v>5</v>
      </c>
      <c r="I64">
        <f t="shared" si="2"/>
        <v>13</v>
      </c>
      <c r="J64">
        <f t="shared" si="6"/>
        <v>0</v>
      </c>
      <c r="K64">
        <f t="shared" si="7"/>
        <v>1</v>
      </c>
      <c r="L64">
        <f t="shared" si="5"/>
        <v>0</v>
      </c>
    </row>
    <row r="65" spans="1:12" x14ac:dyDescent="0.25">
      <c r="A65">
        <v>4</v>
      </c>
      <c r="B65" s="1">
        <v>45326</v>
      </c>
      <c r="C65" t="s">
        <v>4</v>
      </c>
      <c r="D65">
        <v>4</v>
      </c>
      <c r="E65">
        <v>5</v>
      </c>
      <c r="F65" t="s">
        <v>70</v>
      </c>
      <c r="G65">
        <f t="shared" si="8"/>
        <v>7</v>
      </c>
      <c r="H65">
        <f t="shared" si="1"/>
        <v>3</v>
      </c>
      <c r="I65">
        <f t="shared" si="2"/>
        <v>10</v>
      </c>
      <c r="J65">
        <f t="shared" si="6"/>
        <v>0</v>
      </c>
      <c r="K65">
        <f t="shared" si="7"/>
        <v>0</v>
      </c>
      <c r="L65">
        <f t="shared" si="5"/>
        <v>-1</v>
      </c>
    </row>
    <row r="66" spans="1:12" x14ac:dyDescent="0.25">
      <c r="A66">
        <v>4</v>
      </c>
      <c r="B66" s="1">
        <v>45326</v>
      </c>
      <c r="C66" t="s">
        <v>4</v>
      </c>
      <c r="D66">
        <v>5</v>
      </c>
      <c r="E66">
        <v>1</v>
      </c>
      <c r="F66" t="s">
        <v>71</v>
      </c>
      <c r="G66">
        <f t="shared" si="8"/>
        <v>6</v>
      </c>
      <c r="H66">
        <f t="shared" si="1"/>
        <v>1</v>
      </c>
      <c r="I66">
        <f t="shared" si="2"/>
        <v>7</v>
      </c>
      <c r="J66">
        <f t="shared" si="6"/>
        <v>0</v>
      </c>
      <c r="K66">
        <f t="shared" si="7"/>
        <v>0</v>
      </c>
      <c r="L66">
        <f t="shared" si="5"/>
        <v>4</v>
      </c>
    </row>
    <row r="67" spans="1:12" x14ac:dyDescent="0.25">
      <c r="A67">
        <v>4</v>
      </c>
      <c r="B67" s="1">
        <v>45326</v>
      </c>
      <c r="C67" t="s">
        <v>4</v>
      </c>
      <c r="D67">
        <v>6</v>
      </c>
      <c r="E67">
        <v>9</v>
      </c>
      <c r="F67" t="s">
        <v>55</v>
      </c>
      <c r="G67">
        <f t="shared" si="8"/>
        <v>5</v>
      </c>
      <c r="H67">
        <f t="shared" ref="H67:H130" si="9">IF(D67&lt;6,11-2*D67,0)</f>
        <v>0</v>
      </c>
      <c r="I67">
        <f t="shared" ref="I67:I130" si="10">G67+H67</f>
        <v>5</v>
      </c>
      <c r="J67">
        <f t="shared" si="6"/>
        <v>0</v>
      </c>
      <c r="K67">
        <f t="shared" si="7"/>
        <v>0</v>
      </c>
      <c r="L67">
        <f t="shared" ref="L67:L130" si="11">D67-E67</f>
        <v>-3</v>
      </c>
    </row>
    <row r="68" spans="1:12" x14ac:dyDescent="0.25">
      <c r="A68">
        <v>4</v>
      </c>
      <c r="B68" s="1">
        <v>45326</v>
      </c>
      <c r="C68" t="s">
        <v>4</v>
      </c>
      <c r="D68">
        <v>7</v>
      </c>
      <c r="E68">
        <v>6</v>
      </c>
      <c r="F68" t="s">
        <v>72</v>
      </c>
      <c r="G68">
        <f t="shared" si="8"/>
        <v>4</v>
      </c>
      <c r="H68">
        <f t="shared" si="9"/>
        <v>0</v>
      </c>
      <c r="I68">
        <f t="shared" si="10"/>
        <v>4</v>
      </c>
      <c r="J68">
        <f t="shared" si="6"/>
        <v>0</v>
      </c>
      <c r="K68">
        <f t="shared" si="7"/>
        <v>0</v>
      </c>
      <c r="L68">
        <f t="shared" si="11"/>
        <v>1</v>
      </c>
    </row>
    <row r="69" spans="1:12" x14ac:dyDescent="0.25">
      <c r="A69">
        <v>4</v>
      </c>
      <c r="B69" s="1">
        <v>45326</v>
      </c>
      <c r="C69" t="s">
        <v>4</v>
      </c>
      <c r="D69">
        <v>8</v>
      </c>
      <c r="E69">
        <v>8</v>
      </c>
      <c r="F69" t="s">
        <v>54</v>
      </c>
      <c r="G69">
        <f t="shared" si="8"/>
        <v>3</v>
      </c>
      <c r="H69">
        <f t="shared" si="9"/>
        <v>0</v>
      </c>
      <c r="I69">
        <f t="shared" si="10"/>
        <v>3</v>
      </c>
      <c r="J69">
        <f t="shared" si="6"/>
        <v>0</v>
      </c>
      <c r="K69">
        <f t="shared" si="7"/>
        <v>0</v>
      </c>
      <c r="L69">
        <f t="shared" si="11"/>
        <v>0</v>
      </c>
    </row>
    <row r="70" spans="1:12" x14ac:dyDescent="0.25">
      <c r="A70">
        <v>4</v>
      </c>
      <c r="B70" s="1">
        <v>45326</v>
      </c>
      <c r="C70" t="s">
        <v>4</v>
      </c>
      <c r="D70">
        <v>9</v>
      </c>
      <c r="E70">
        <v>11</v>
      </c>
      <c r="F70" t="s">
        <v>26</v>
      </c>
      <c r="G70">
        <f t="shared" si="8"/>
        <v>2</v>
      </c>
      <c r="H70">
        <f t="shared" si="9"/>
        <v>0</v>
      </c>
      <c r="I70">
        <f t="shared" si="10"/>
        <v>2</v>
      </c>
      <c r="J70">
        <f t="shared" si="6"/>
        <v>0</v>
      </c>
      <c r="K70">
        <f t="shared" si="7"/>
        <v>0</v>
      </c>
      <c r="L70">
        <f t="shared" si="11"/>
        <v>-2</v>
      </c>
    </row>
    <row r="71" spans="1:12" x14ac:dyDescent="0.25">
      <c r="A71">
        <v>4</v>
      </c>
      <c r="B71" s="1">
        <v>45326</v>
      </c>
      <c r="C71" t="s">
        <v>4</v>
      </c>
      <c r="D71">
        <v>10</v>
      </c>
      <c r="E71">
        <v>7</v>
      </c>
      <c r="F71" t="s">
        <v>73</v>
      </c>
      <c r="G71">
        <f t="shared" si="8"/>
        <v>1</v>
      </c>
      <c r="H71">
        <f t="shared" si="9"/>
        <v>0</v>
      </c>
      <c r="I71">
        <f t="shared" si="10"/>
        <v>1</v>
      </c>
      <c r="J71">
        <f t="shared" si="6"/>
        <v>0</v>
      </c>
      <c r="K71">
        <f t="shared" si="7"/>
        <v>0</v>
      </c>
      <c r="L71">
        <f t="shared" si="11"/>
        <v>3</v>
      </c>
    </row>
    <row r="72" spans="1:12" x14ac:dyDescent="0.25">
      <c r="A72">
        <v>4</v>
      </c>
      <c r="B72" s="1">
        <v>45326</v>
      </c>
      <c r="C72" t="s">
        <v>29</v>
      </c>
      <c r="D72">
        <v>1</v>
      </c>
      <c r="E72">
        <v>4</v>
      </c>
      <c r="F72" t="s">
        <v>61</v>
      </c>
      <c r="G72">
        <f t="shared" si="8"/>
        <v>10</v>
      </c>
      <c r="H72">
        <f t="shared" si="9"/>
        <v>9</v>
      </c>
      <c r="I72">
        <f t="shared" si="10"/>
        <v>19</v>
      </c>
      <c r="J72">
        <f t="shared" si="6"/>
        <v>1</v>
      </c>
      <c r="K72">
        <f t="shared" si="7"/>
        <v>1</v>
      </c>
      <c r="L72">
        <f t="shared" si="11"/>
        <v>-3</v>
      </c>
    </row>
    <row r="73" spans="1:12" x14ac:dyDescent="0.25">
      <c r="A73">
        <v>4</v>
      </c>
      <c r="B73" s="1">
        <v>45326</v>
      </c>
      <c r="C73" t="s">
        <v>29</v>
      </c>
      <c r="D73">
        <v>2</v>
      </c>
      <c r="E73">
        <v>11</v>
      </c>
      <c r="F73" t="s">
        <v>66</v>
      </c>
      <c r="G73">
        <f t="shared" si="8"/>
        <v>9</v>
      </c>
      <c r="H73">
        <f t="shared" si="9"/>
        <v>7</v>
      </c>
      <c r="I73">
        <f t="shared" si="10"/>
        <v>16</v>
      </c>
      <c r="J73">
        <f t="shared" si="6"/>
        <v>0</v>
      </c>
      <c r="K73">
        <f t="shared" si="7"/>
        <v>1</v>
      </c>
      <c r="L73">
        <f t="shared" si="11"/>
        <v>-9</v>
      </c>
    </row>
    <row r="74" spans="1:12" x14ac:dyDescent="0.25">
      <c r="A74">
        <v>4</v>
      </c>
      <c r="B74" s="1">
        <v>45326</v>
      </c>
      <c r="C74" t="s">
        <v>29</v>
      </c>
      <c r="D74">
        <v>3</v>
      </c>
      <c r="E74">
        <v>1</v>
      </c>
      <c r="F74" t="s">
        <v>74</v>
      </c>
      <c r="G74">
        <f t="shared" si="8"/>
        <v>8</v>
      </c>
      <c r="H74">
        <f t="shared" si="9"/>
        <v>5</v>
      </c>
      <c r="I74">
        <f t="shared" si="10"/>
        <v>13</v>
      </c>
      <c r="J74">
        <f t="shared" si="6"/>
        <v>0</v>
      </c>
      <c r="K74">
        <f t="shared" si="7"/>
        <v>1</v>
      </c>
      <c r="L74">
        <f t="shared" si="11"/>
        <v>2</v>
      </c>
    </row>
    <row r="75" spans="1:12" x14ac:dyDescent="0.25">
      <c r="A75">
        <v>4</v>
      </c>
      <c r="B75" s="1">
        <v>45326</v>
      </c>
      <c r="C75" t="s">
        <v>29</v>
      </c>
      <c r="D75">
        <v>4</v>
      </c>
      <c r="E75">
        <v>2</v>
      </c>
      <c r="F75" t="s">
        <v>75</v>
      </c>
      <c r="G75">
        <f t="shared" si="8"/>
        <v>7</v>
      </c>
      <c r="H75">
        <f t="shared" si="9"/>
        <v>3</v>
      </c>
      <c r="I75">
        <f t="shared" si="10"/>
        <v>10</v>
      </c>
      <c r="J75">
        <f t="shared" si="6"/>
        <v>0</v>
      </c>
      <c r="K75">
        <f t="shared" si="7"/>
        <v>0</v>
      </c>
      <c r="L75">
        <f t="shared" si="11"/>
        <v>2</v>
      </c>
    </row>
    <row r="76" spans="1:12" x14ac:dyDescent="0.25">
      <c r="A76">
        <v>4</v>
      </c>
      <c r="B76" s="1">
        <v>45326</v>
      </c>
      <c r="C76" t="s">
        <v>29</v>
      </c>
      <c r="D76">
        <v>5</v>
      </c>
      <c r="E76">
        <v>6</v>
      </c>
      <c r="F76" t="s">
        <v>76</v>
      </c>
      <c r="G76">
        <f t="shared" si="8"/>
        <v>6</v>
      </c>
      <c r="H76">
        <f t="shared" si="9"/>
        <v>1</v>
      </c>
      <c r="I76">
        <f t="shared" si="10"/>
        <v>7</v>
      </c>
      <c r="J76">
        <f t="shared" si="6"/>
        <v>0</v>
      </c>
      <c r="K76">
        <f t="shared" si="7"/>
        <v>0</v>
      </c>
      <c r="L76">
        <f t="shared" si="11"/>
        <v>-1</v>
      </c>
    </row>
    <row r="77" spans="1:12" x14ac:dyDescent="0.25">
      <c r="A77">
        <v>4</v>
      </c>
      <c r="B77" s="1">
        <v>45326</v>
      </c>
      <c r="C77" t="s">
        <v>29</v>
      </c>
      <c r="D77">
        <v>6</v>
      </c>
      <c r="E77">
        <v>3</v>
      </c>
      <c r="F77" t="s">
        <v>77</v>
      </c>
      <c r="G77">
        <f t="shared" si="8"/>
        <v>5</v>
      </c>
      <c r="H77">
        <f t="shared" si="9"/>
        <v>0</v>
      </c>
      <c r="I77">
        <f t="shared" si="10"/>
        <v>5</v>
      </c>
      <c r="J77">
        <f t="shared" ref="J77:J140" si="12">COUNTIF(D77,"=1")</f>
        <v>0</v>
      </c>
      <c r="K77">
        <f t="shared" ref="K77:K140" si="13">COUNTIF(D77,"&lt;4")</f>
        <v>0</v>
      </c>
      <c r="L77">
        <f t="shared" si="11"/>
        <v>3</v>
      </c>
    </row>
    <row r="78" spans="1:12" x14ac:dyDescent="0.25">
      <c r="A78">
        <v>4</v>
      </c>
      <c r="B78" s="1">
        <v>45326</v>
      </c>
      <c r="C78" t="s">
        <v>29</v>
      </c>
      <c r="D78">
        <v>7</v>
      </c>
      <c r="E78">
        <v>5</v>
      </c>
      <c r="F78" t="s">
        <v>78</v>
      </c>
      <c r="G78">
        <f t="shared" si="8"/>
        <v>4</v>
      </c>
      <c r="H78">
        <f t="shared" si="9"/>
        <v>0</v>
      </c>
      <c r="I78">
        <f t="shared" si="10"/>
        <v>4</v>
      </c>
      <c r="J78">
        <f t="shared" si="12"/>
        <v>0</v>
      </c>
      <c r="K78">
        <f t="shared" si="13"/>
        <v>0</v>
      </c>
      <c r="L78">
        <f t="shared" si="11"/>
        <v>2</v>
      </c>
    </row>
    <row r="79" spans="1:12" x14ac:dyDescent="0.25">
      <c r="A79">
        <v>4</v>
      </c>
      <c r="B79" s="1">
        <v>45326</v>
      </c>
      <c r="C79" t="s">
        <v>29</v>
      </c>
      <c r="D79">
        <v>8</v>
      </c>
      <c r="E79">
        <v>9</v>
      </c>
      <c r="F79" t="s">
        <v>79</v>
      </c>
      <c r="G79">
        <f t="shared" si="8"/>
        <v>3</v>
      </c>
      <c r="H79">
        <f t="shared" si="9"/>
        <v>0</v>
      </c>
      <c r="I79">
        <f t="shared" si="10"/>
        <v>3</v>
      </c>
      <c r="J79">
        <f t="shared" si="12"/>
        <v>0</v>
      </c>
      <c r="K79">
        <f t="shared" si="13"/>
        <v>0</v>
      </c>
      <c r="L79">
        <f t="shared" si="11"/>
        <v>-1</v>
      </c>
    </row>
    <row r="80" spans="1:12" x14ac:dyDescent="0.25">
      <c r="A80">
        <v>4</v>
      </c>
      <c r="B80" s="1">
        <v>45326</v>
      </c>
      <c r="C80" t="s">
        <v>29</v>
      </c>
      <c r="D80">
        <v>9</v>
      </c>
      <c r="E80">
        <v>7</v>
      </c>
      <c r="F80" t="s">
        <v>80</v>
      </c>
      <c r="G80">
        <f t="shared" si="8"/>
        <v>2</v>
      </c>
      <c r="H80">
        <f t="shared" si="9"/>
        <v>0</v>
      </c>
      <c r="I80">
        <f t="shared" si="10"/>
        <v>2</v>
      </c>
      <c r="J80">
        <f t="shared" si="12"/>
        <v>0</v>
      </c>
      <c r="K80">
        <f t="shared" si="13"/>
        <v>0</v>
      </c>
      <c r="L80">
        <f t="shared" si="11"/>
        <v>2</v>
      </c>
    </row>
    <row r="81" spans="1:12" x14ac:dyDescent="0.25">
      <c r="A81">
        <v>4</v>
      </c>
      <c r="B81" s="1">
        <v>45326</v>
      </c>
      <c r="C81" t="s">
        <v>29</v>
      </c>
      <c r="D81">
        <v>10</v>
      </c>
      <c r="E81">
        <v>11</v>
      </c>
      <c r="F81" t="s">
        <v>67</v>
      </c>
      <c r="G81">
        <f t="shared" si="8"/>
        <v>1</v>
      </c>
      <c r="H81">
        <f t="shared" si="9"/>
        <v>0</v>
      </c>
      <c r="I81">
        <f t="shared" si="10"/>
        <v>1</v>
      </c>
      <c r="J81">
        <f t="shared" si="12"/>
        <v>0</v>
      </c>
      <c r="K81">
        <f t="shared" si="13"/>
        <v>0</v>
      </c>
      <c r="L81">
        <f t="shared" si="11"/>
        <v>-1</v>
      </c>
    </row>
    <row r="82" spans="1:12" x14ac:dyDescent="0.25">
      <c r="A82">
        <v>5</v>
      </c>
      <c r="B82" s="1">
        <v>45333</v>
      </c>
      <c r="C82" t="s">
        <v>4</v>
      </c>
      <c r="D82">
        <v>1</v>
      </c>
      <c r="E82">
        <v>1</v>
      </c>
      <c r="F82" t="s">
        <v>56</v>
      </c>
      <c r="G82">
        <f t="shared" ref="G82:G405" si="14">11-D82</f>
        <v>10</v>
      </c>
      <c r="H82">
        <f t="shared" si="9"/>
        <v>9</v>
      </c>
      <c r="I82">
        <f t="shared" si="10"/>
        <v>19</v>
      </c>
      <c r="J82">
        <f t="shared" si="12"/>
        <v>1</v>
      </c>
      <c r="K82">
        <f t="shared" si="13"/>
        <v>1</v>
      </c>
      <c r="L82">
        <f t="shared" si="11"/>
        <v>0</v>
      </c>
    </row>
    <row r="83" spans="1:12" x14ac:dyDescent="0.25">
      <c r="A83">
        <v>5</v>
      </c>
      <c r="B83" s="1">
        <v>45333</v>
      </c>
      <c r="C83" t="s">
        <v>4</v>
      </c>
      <c r="D83">
        <v>2</v>
      </c>
      <c r="E83">
        <v>2</v>
      </c>
      <c r="F83" t="s">
        <v>69</v>
      </c>
      <c r="G83">
        <f t="shared" si="14"/>
        <v>9</v>
      </c>
      <c r="H83">
        <f t="shared" si="9"/>
        <v>7</v>
      </c>
      <c r="I83">
        <f t="shared" si="10"/>
        <v>16</v>
      </c>
      <c r="J83">
        <f t="shared" si="12"/>
        <v>0</v>
      </c>
      <c r="K83">
        <f t="shared" si="13"/>
        <v>1</v>
      </c>
      <c r="L83">
        <f t="shared" si="11"/>
        <v>0</v>
      </c>
    </row>
    <row r="84" spans="1:12" x14ac:dyDescent="0.25">
      <c r="A84">
        <v>5</v>
      </c>
      <c r="B84" s="1">
        <v>45333</v>
      </c>
      <c r="C84" t="s">
        <v>4</v>
      </c>
      <c r="D84">
        <v>3</v>
      </c>
      <c r="E84">
        <v>3</v>
      </c>
      <c r="F84" t="s">
        <v>68</v>
      </c>
      <c r="G84">
        <f t="shared" si="14"/>
        <v>8</v>
      </c>
      <c r="H84">
        <f t="shared" si="9"/>
        <v>5</v>
      </c>
      <c r="I84">
        <f t="shared" si="10"/>
        <v>13</v>
      </c>
      <c r="J84">
        <f t="shared" si="12"/>
        <v>0</v>
      </c>
      <c r="K84">
        <f t="shared" si="13"/>
        <v>1</v>
      </c>
      <c r="L84">
        <f t="shared" si="11"/>
        <v>0</v>
      </c>
    </row>
    <row r="85" spans="1:12" x14ac:dyDescent="0.25">
      <c r="A85">
        <v>5</v>
      </c>
      <c r="B85" s="1">
        <v>45333</v>
      </c>
      <c r="C85" t="s">
        <v>4</v>
      </c>
      <c r="D85">
        <v>4</v>
      </c>
      <c r="E85">
        <v>4</v>
      </c>
      <c r="F85" t="s">
        <v>70</v>
      </c>
      <c r="G85">
        <f t="shared" si="14"/>
        <v>7</v>
      </c>
      <c r="H85">
        <f t="shared" si="9"/>
        <v>3</v>
      </c>
      <c r="I85">
        <f t="shared" si="10"/>
        <v>10</v>
      </c>
      <c r="J85">
        <f t="shared" si="12"/>
        <v>0</v>
      </c>
      <c r="K85">
        <f t="shared" si="13"/>
        <v>0</v>
      </c>
      <c r="L85">
        <f t="shared" si="11"/>
        <v>0</v>
      </c>
    </row>
    <row r="86" spans="1:12" x14ac:dyDescent="0.25">
      <c r="A86">
        <v>5</v>
      </c>
      <c r="B86" s="1">
        <v>45333</v>
      </c>
      <c r="C86" t="s">
        <v>4</v>
      </c>
      <c r="D86">
        <v>5</v>
      </c>
      <c r="E86">
        <v>7</v>
      </c>
      <c r="F86" t="s">
        <v>72</v>
      </c>
      <c r="G86">
        <f t="shared" si="14"/>
        <v>6</v>
      </c>
      <c r="H86">
        <f t="shared" si="9"/>
        <v>1</v>
      </c>
      <c r="I86">
        <f t="shared" si="10"/>
        <v>7</v>
      </c>
      <c r="J86">
        <f t="shared" si="12"/>
        <v>0</v>
      </c>
      <c r="K86">
        <f t="shared" si="13"/>
        <v>0</v>
      </c>
      <c r="L86">
        <f t="shared" si="11"/>
        <v>-2</v>
      </c>
    </row>
    <row r="87" spans="1:12" x14ac:dyDescent="0.25">
      <c r="A87">
        <v>5</v>
      </c>
      <c r="B87" s="1">
        <v>45333</v>
      </c>
      <c r="C87" t="s">
        <v>4</v>
      </c>
      <c r="D87">
        <v>6</v>
      </c>
      <c r="E87">
        <v>6</v>
      </c>
      <c r="F87" t="s">
        <v>55</v>
      </c>
      <c r="G87">
        <f t="shared" si="14"/>
        <v>5</v>
      </c>
      <c r="H87">
        <f t="shared" si="9"/>
        <v>0</v>
      </c>
      <c r="I87">
        <f t="shared" si="10"/>
        <v>5</v>
      </c>
      <c r="J87">
        <f t="shared" si="12"/>
        <v>0</v>
      </c>
      <c r="K87">
        <f t="shared" si="13"/>
        <v>0</v>
      </c>
      <c r="L87">
        <f t="shared" si="11"/>
        <v>0</v>
      </c>
    </row>
    <row r="88" spans="1:12" x14ac:dyDescent="0.25">
      <c r="A88">
        <v>5</v>
      </c>
      <c r="B88" s="1">
        <v>45333</v>
      </c>
      <c r="C88" t="s">
        <v>4</v>
      </c>
      <c r="D88">
        <v>7</v>
      </c>
      <c r="E88">
        <v>8</v>
      </c>
      <c r="F88" t="s">
        <v>54</v>
      </c>
      <c r="G88">
        <f t="shared" si="14"/>
        <v>4</v>
      </c>
      <c r="H88">
        <f t="shared" si="9"/>
        <v>0</v>
      </c>
      <c r="I88">
        <f t="shared" si="10"/>
        <v>4</v>
      </c>
      <c r="J88">
        <f t="shared" si="12"/>
        <v>0</v>
      </c>
      <c r="K88">
        <f t="shared" si="13"/>
        <v>0</v>
      </c>
      <c r="L88">
        <f t="shared" si="11"/>
        <v>-1</v>
      </c>
    </row>
    <row r="89" spans="1:12" x14ac:dyDescent="0.25">
      <c r="A89">
        <v>5</v>
      </c>
      <c r="B89" s="1">
        <v>45333</v>
      </c>
      <c r="C89" t="s">
        <v>4</v>
      </c>
      <c r="D89">
        <v>8</v>
      </c>
      <c r="E89">
        <v>11</v>
      </c>
      <c r="F89" t="s">
        <v>91</v>
      </c>
      <c r="G89">
        <f t="shared" si="14"/>
        <v>3</v>
      </c>
      <c r="H89">
        <f t="shared" si="9"/>
        <v>0</v>
      </c>
      <c r="I89">
        <f t="shared" si="10"/>
        <v>3</v>
      </c>
      <c r="J89">
        <f t="shared" si="12"/>
        <v>0</v>
      </c>
      <c r="K89">
        <f t="shared" si="13"/>
        <v>0</v>
      </c>
      <c r="L89">
        <f t="shared" si="11"/>
        <v>-3</v>
      </c>
    </row>
    <row r="90" spans="1:12" x14ac:dyDescent="0.25">
      <c r="A90">
        <v>5</v>
      </c>
      <c r="B90" s="1">
        <v>45333</v>
      </c>
      <c r="C90" t="s">
        <v>4</v>
      </c>
      <c r="D90">
        <v>9</v>
      </c>
      <c r="E90">
        <v>9</v>
      </c>
      <c r="F90" t="s">
        <v>26</v>
      </c>
      <c r="G90">
        <f t="shared" si="14"/>
        <v>2</v>
      </c>
      <c r="H90">
        <f t="shared" si="9"/>
        <v>0</v>
      </c>
      <c r="I90">
        <f t="shared" si="10"/>
        <v>2</v>
      </c>
      <c r="J90">
        <f t="shared" si="12"/>
        <v>0</v>
      </c>
      <c r="K90">
        <f t="shared" si="13"/>
        <v>0</v>
      </c>
      <c r="L90">
        <f t="shared" si="11"/>
        <v>0</v>
      </c>
    </row>
    <row r="91" spans="1:12" x14ac:dyDescent="0.25">
      <c r="A91">
        <v>5</v>
      </c>
      <c r="B91" s="1">
        <v>45333</v>
      </c>
      <c r="C91" t="s">
        <v>4</v>
      </c>
      <c r="D91">
        <v>10</v>
      </c>
      <c r="E91">
        <v>10</v>
      </c>
      <c r="F91" t="s">
        <v>73</v>
      </c>
      <c r="G91">
        <f t="shared" si="14"/>
        <v>1</v>
      </c>
      <c r="H91">
        <f t="shared" si="9"/>
        <v>0</v>
      </c>
      <c r="I91">
        <f t="shared" si="10"/>
        <v>1</v>
      </c>
      <c r="J91">
        <f t="shared" si="12"/>
        <v>0</v>
      </c>
      <c r="K91">
        <f t="shared" si="13"/>
        <v>0</v>
      </c>
      <c r="L91">
        <f t="shared" si="11"/>
        <v>0</v>
      </c>
    </row>
    <row r="92" spans="1:12" x14ac:dyDescent="0.25">
      <c r="A92">
        <v>5</v>
      </c>
      <c r="B92" s="1">
        <v>45333</v>
      </c>
      <c r="C92" t="s">
        <v>29</v>
      </c>
      <c r="D92">
        <v>1</v>
      </c>
      <c r="E92">
        <v>1</v>
      </c>
      <c r="F92" t="s">
        <v>61</v>
      </c>
      <c r="G92">
        <f t="shared" si="14"/>
        <v>10</v>
      </c>
      <c r="H92">
        <f t="shared" si="9"/>
        <v>9</v>
      </c>
      <c r="I92">
        <f t="shared" si="10"/>
        <v>19</v>
      </c>
      <c r="J92">
        <f t="shared" si="12"/>
        <v>1</v>
      </c>
      <c r="K92">
        <f t="shared" si="13"/>
        <v>1</v>
      </c>
      <c r="L92">
        <f t="shared" si="11"/>
        <v>0</v>
      </c>
    </row>
    <row r="93" spans="1:12" x14ac:dyDescent="0.25">
      <c r="A93">
        <v>5</v>
      </c>
      <c r="B93" s="1">
        <v>45333</v>
      </c>
      <c r="C93" t="s">
        <v>29</v>
      </c>
      <c r="D93">
        <v>2</v>
      </c>
      <c r="E93">
        <v>2</v>
      </c>
      <c r="F93" t="s">
        <v>66</v>
      </c>
      <c r="G93">
        <f t="shared" si="14"/>
        <v>9</v>
      </c>
      <c r="H93">
        <f t="shared" si="9"/>
        <v>7</v>
      </c>
      <c r="I93">
        <f t="shared" si="10"/>
        <v>16</v>
      </c>
      <c r="J93">
        <f t="shared" si="12"/>
        <v>0</v>
      </c>
      <c r="K93">
        <f t="shared" si="13"/>
        <v>1</v>
      </c>
      <c r="L93">
        <f t="shared" si="11"/>
        <v>0</v>
      </c>
    </row>
    <row r="94" spans="1:12" x14ac:dyDescent="0.25">
      <c r="A94">
        <v>5</v>
      </c>
      <c r="B94" s="1">
        <v>45333</v>
      </c>
      <c r="C94" t="s">
        <v>29</v>
      </c>
      <c r="D94">
        <v>3</v>
      </c>
      <c r="E94">
        <v>3</v>
      </c>
      <c r="F94" t="s">
        <v>74</v>
      </c>
      <c r="G94">
        <f t="shared" si="14"/>
        <v>8</v>
      </c>
      <c r="H94">
        <f t="shared" si="9"/>
        <v>5</v>
      </c>
      <c r="I94">
        <f t="shared" si="10"/>
        <v>13</v>
      </c>
      <c r="J94">
        <f t="shared" si="12"/>
        <v>0</v>
      </c>
      <c r="K94">
        <f t="shared" si="13"/>
        <v>1</v>
      </c>
      <c r="L94">
        <f t="shared" si="11"/>
        <v>0</v>
      </c>
    </row>
    <row r="95" spans="1:12" x14ac:dyDescent="0.25">
      <c r="A95">
        <v>5</v>
      </c>
      <c r="B95" s="1">
        <v>45333</v>
      </c>
      <c r="C95" t="s">
        <v>29</v>
      </c>
      <c r="D95">
        <v>4</v>
      </c>
      <c r="E95">
        <v>4</v>
      </c>
      <c r="F95" t="s">
        <v>75</v>
      </c>
      <c r="G95">
        <f t="shared" si="14"/>
        <v>7</v>
      </c>
      <c r="H95">
        <f t="shared" si="9"/>
        <v>3</v>
      </c>
      <c r="I95">
        <f t="shared" si="10"/>
        <v>10</v>
      </c>
      <c r="J95">
        <f t="shared" si="12"/>
        <v>0</v>
      </c>
      <c r="K95">
        <f t="shared" si="13"/>
        <v>0</v>
      </c>
      <c r="L95">
        <f t="shared" si="11"/>
        <v>0</v>
      </c>
    </row>
    <row r="96" spans="1:12" x14ac:dyDescent="0.25">
      <c r="A96">
        <v>5</v>
      </c>
      <c r="B96" s="1">
        <v>45333</v>
      </c>
      <c r="C96" t="s">
        <v>29</v>
      </c>
      <c r="D96">
        <v>5</v>
      </c>
      <c r="E96">
        <v>5</v>
      </c>
      <c r="F96" t="s">
        <v>76</v>
      </c>
      <c r="G96">
        <f t="shared" si="14"/>
        <v>6</v>
      </c>
      <c r="H96">
        <f t="shared" si="9"/>
        <v>1</v>
      </c>
      <c r="I96">
        <f t="shared" si="10"/>
        <v>7</v>
      </c>
      <c r="J96">
        <f t="shared" si="12"/>
        <v>0</v>
      </c>
      <c r="K96">
        <f t="shared" si="13"/>
        <v>0</v>
      </c>
      <c r="L96">
        <f t="shared" si="11"/>
        <v>0</v>
      </c>
    </row>
    <row r="97" spans="1:12" x14ac:dyDescent="0.25">
      <c r="A97">
        <v>5</v>
      </c>
      <c r="B97" s="1">
        <v>45333</v>
      </c>
      <c r="C97" t="s">
        <v>29</v>
      </c>
      <c r="D97">
        <v>6</v>
      </c>
      <c r="E97">
        <v>6</v>
      </c>
      <c r="F97" t="s">
        <v>77</v>
      </c>
      <c r="G97">
        <f t="shared" si="14"/>
        <v>5</v>
      </c>
      <c r="H97">
        <f t="shared" si="9"/>
        <v>0</v>
      </c>
      <c r="I97">
        <f t="shared" si="10"/>
        <v>5</v>
      </c>
      <c r="J97">
        <f t="shared" si="12"/>
        <v>0</v>
      </c>
      <c r="K97">
        <f t="shared" si="13"/>
        <v>0</v>
      </c>
      <c r="L97">
        <f t="shared" si="11"/>
        <v>0</v>
      </c>
    </row>
    <row r="98" spans="1:12" x14ac:dyDescent="0.25">
      <c r="A98">
        <v>5</v>
      </c>
      <c r="B98" s="1">
        <v>45333</v>
      </c>
      <c r="C98" t="s">
        <v>29</v>
      </c>
      <c r="D98">
        <v>7</v>
      </c>
      <c r="E98">
        <v>7</v>
      </c>
      <c r="F98" t="s">
        <v>78</v>
      </c>
      <c r="G98">
        <f t="shared" si="14"/>
        <v>4</v>
      </c>
      <c r="H98">
        <f t="shared" si="9"/>
        <v>0</v>
      </c>
      <c r="I98">
        <f t="shared" si="10"/>
        <v>4</v>
      </c>
      <c r="J98">
        <f t="shared" si="12"/>
        <v>0</v>
      </c>
      <c r="K98">
        <f t="shared" si="13"/>
        <v>0</v>
      </c>
      <c r="L98">
        <f t="shared" si="11"/>
        <v>0</v>
      </c>
    </row>
    <row r="99" spans="1:12" x14ac:dyDescent="0.25">
      <c r="A99">
        <v>5</v>
      </c>
      <c r="B99" s="1">
        <v>45333</v>
      </c>
      <c r="C99" t="s">
        <v>29</v>
      </c>
      <c r="D99">
        <v>8</v>
      </c>
      <c r="E99">
        <v>8</v>
      </c>
      <c r="F99" t="s">
        <v>79</v>
      </c>
      <c r="G99">
        <f t="shared" si="14"/>
        <v>3</v>
      </c>
      <c r="H99">
        <f t="shared" si="9"/>
        <v>0</v>
      </c>
      <c r="I99">
        <f t="shared" si="10"/>
        <v>3</v>
      </c>
      <c r="J99">
        <f t="shared" si="12"/>
        <v>0</v>
      </c>
      <c r="K99">
        <f t="shared" si="13"/>
        <v>0</v>
      </c>
      <c r="L99">
        <f t="shared" si="11"/>
        <v>0</v>
      </c>
    </row>
    <row r="100" spans="1:12" x14ac:dyDescent="0.25">
      <c r="A100">
        <v>5</v>
      </c>
      <c r="B100" s="1">
        <v>45333</v>
      </c>
      <c r="C100" t="s">
        <v>29</v>
      </c>
      <c r="D100">
        <v>9</v>
      </c>
      <c r="E100">
        <v>9</v>
      </c>
      <c r="F100" t="s">
        <v>80</v>
      </c>
      <c r="G100">
        <f t="shared" si="14"/>
        <v>2</v>
      </c>
      <c r="H100">
        <f t="shared" si="9"/>
        <v>0</v>
      </c>
      <c r="I100">
        <f t="shared" si="10"/>
        <v>2</v>
      </c>
      <c r="J100">
        <f t="shared" si="12"/>
        <v>0</v>
      </c>
      <c r="K100">
        <f t="shared" si="13"/>
        <v>0</v>
      </c>
      <c r="L100">
        <f t="shared" si="11"/>
        <v>0</v>
      </c>
    </row>
    <row r="101" spans="1:12" x14ac:dyDescent="0.25">
      <c r="A101">
        <v>5</v>
      </c>
      <c r="B101" s="1">
        <v>45333</v>
      </c>
      <c r="C101" t="s">
        <v>29</v>
      </c>
      <c r="D101">
        <v>10</v>
      </c>
      <c r="E101">
        <v>10</v>
      </c>
      <c r="F101" t="s">
        <v>67</v>
      </c>
      <c r="G101">
        <f t="shared" si="14"/>
        <v>1</v>
      </c>
      <c r="H101">
        <f t="shared" si="9"/>
        <v>0</v>
      </c>
      <c r="I101">
        <f t="shared" si="10"/>
        <v>1</v>
      </c>
      <c r="J101">
        <f t="shared" si="12"/>
        <v>0</v>
      </c>
      <c r="K101">
        <f t="shared" si="13"/>
        <v>0</v>
      </c>
      <c r="L101">
        <f t="shared" si="11"/>
        <v>0</v>
      </c>
    </row>
    <row r="102" spans="1:12" x14ac:dyDescent="0.25">
      <c r="A102">
        <v>6</v>
      </c>
      <c r="B102" s="1">
        <v>45340</v>
      </c>
      <c r="C102" t="s">
        <v>4</v>
      </c>
      <c r="D102">
        <v>1</v>
      </c>
      <c r="E102">
        <v>1</v>
      </c>
      <c r="F102" t="s">
        <v>56</v>
      </c>
      <c r="G102">
        <f t="shared" ref="G102:G121" si="15">11-D102</f>
        <v>10</v>
      </c>
      <c r="H102">
        <f t="shared" si="9"/>
        <v>9</v>
      </c>
      <c r="I102">
        <f t="shared" si="10"/>
        <v>19</v>
      </c>
      <c r="J102">
        <f t="shared" si="12"/>
        <v>1</v>
      </c>
      <c r="K102">
        <f t="shared" si="13"/>
        <v>1</v>
      </c>
      <c r="L102">
        <f t="shared" si="11"/>
        <v>0</v>
      </c>
    </row>
    <row r="103" spans="1:12" x14ac:dyDescent="0.25">
      <c r="A103">
        <v>6</v>
      </c>
      <c r="B103" s="1">
        <v>45340</v>
      </c>
      <c r="C103" t="s">
        <v>4</v>
      </c>
      <c r="D103">
        <v>2</v>
      </c>
      <c r="E103">
        <v>6</v>
      </c>
      <c r="F103" t="s">
        <v>55</v>
      </c>
      <c r="G103">
        <f t="shared" si="15"/>
        <v>9</v>
      </c>
      <c r="H103">
        <f t="shared" si="9"/>
        <v>7</v>
      </c>
      <c r="I103">
        <f t="shared" si="10"/>
        <v>16</v>
      </c>
      <c r="J103">
        <f t="shared" si="12"/>
        <v>0</v>
      </c>
      <c r="K103">
        <f t="shared" si="13"/>
        <v>1</v>
      </c>
      <c r="L103">
        <f t="shared" si="11"/>
        <v>-4</v>
      </c>
    </row>
    <row r="104" spans="1:12" x14ac:dyDescent="0.25">
      <c r="A104">
        <v>6</v>
      </c>
      <c r="B104" s="1">
        <v>45340</v>
      </c>
      <c r="C104" t="s">
        <v>4</v>
      </c>
      <c r="D104">
        <v>3</v>
      </c>
      <c r="E104">
        <v>4</v>
      </c>
      <c r="F104" t="s">
        <v>70</v>
      </c>
      <c r="G104">
        <f t="shared" si="15"/>
        <v>8</v>
      </c>
      <c r="H104">
        <f t="shared" si="9"/>
        <v>5</v>
      </c>
      <c r="I104">
        <f t="shared" si="10"/>
        <v>13</v>
      </c>
      <c r="J104">
        <f t="shared" si="12"/>
        <v>0</v>
      </c>
      <c r="K104">
        <f t="shared" si="13"/>
        <v>1</v>
      </c>
      <c r="L104">
        <f t="shared" si="11"/>
        <v>-1</v>
      </c>
    </row>
    <row r="105" spans="1:12" x14ac:dyDescent="0.25">
      <c r="A105">
        <v>6</v>
      </c>
      <c r="B105" s="1">
        <v>45340</v>
      </c>
      <c r="C105" t="s">
        <v>4</v>
      </c>
      <c r="D105">
        <v>4</v>
      </c>
      <c r="E105">
        <v>9</v>
      </c>
      <c r="F105" t="s">
        <v>26</v>
      </c>
      <c r="G105">
        <f t="shared" si="15"/>
        <v>7</v>
      </c>
      <c r="H105">
        <f t="shared" si="9"/>
        <v>3</v>
      </c>
      <c r="I105">
        <f t="shared" si="10"/>
        <v>10</v>
      </c>
      <c r="J105">
        <f t="shared" si="12"/>
        <v>0</v>
      </c>
      <c r="K105">
        <f t="shared" si="13"/>
        <v>0</v>
      </c>
      <c r="L105">
        <f t="shared" si="11"/>
        <v>-5</v>
      </c>
    </row>
    <row r="106" spans="1:12" x14ac:dyDescent="0.25">
      <c r="A106">
        <v>6</v>
      </c>
      <c r="B106" s="1">
        <v>45340</v>
      </c>
      <c r="C106" t="s">
        <v>4</v>
      </c>
      <c r="D106">
        <v>5</v>
      </c>
      <c r="E106">
        <v>2</v>
      </c>
      <c r="F106" t="s">
        <v>69</v>
      </c>
      <c r="G106">
        <f t="shared" si="15"/>
        <v>6</v>
      </c>
      <c r="H106">
        <f t="shared" si="9"/>
        <v>1</v>
      </c>
      <c r="I106">
        <f t="shared" si="10"/>
        <v>7</v>
      </c>
      <c r="J106">
        <f t="shared" si="12"/>
        <v>0</v>
      </c>
      <c r="K106">
        <f t="shared" si="13"/>
        <v>0</v>
      </c>
      <c r="L106">
        <f t="shared" si="11"/>
        <v>3</v>
      </c>
    </row>
    <row r="107" spans="1:12" x14ac:dyDescent="0.25">
      <c r="A107">
        <v>6</v>
      </c>
      <c r="B107" s="1">
        <v>45340</v>
      </c>
      <c r="C107" t="s">
        <v>4</v>
      </c>
      <c r="D107">
        <v>6</v>
      </c>
      <c r="E107">
        <v>3</v>
      </c>
      <c r="F107" t="s">
        <v>68</v>
      </c>
      <c r="G107">
        <f t="shared" si="15"/>
        <v>5</v>
      </c>
      <c r="H107">
        <f t="shared" si="9"/>
        <v>0</v>
      </c>
      <c r="I107">
        <f t="shared" si="10"/>
        <v>5</v>
      </c>
      <c r="J107">
        <f t="shared" si="12"/>
        <v>0</v>
      </c>
      <c r="K107">
        <f t="shared" si="13"/>
        <v>0</v>
      </c>
      <c r="L107">
        <f t="shared" si="11"/>
        <v>3</v>
      </c>
    </row>
    <row r="108" spans="1:12" x14ac:dyDescent="0.25">
      <c r="A108">
        <v>6</v>
      </c>
      <c r="B108" s="1">
        <v>45340</v>
      </c>
      <c r="C108" t="s">
        <v>4</v>
      </c>
      <c r="D108">
        <v>7</v>
      </c>
      <c r="E108">
        <v>7</v>
      </c>
      <c r="F108" t="s">
        <v>54</v>
      </c>
      <c r="G108">
        <f t="shared" si="15"/>
        <v>4</v>
      </c>
      <c r="H108">
        <f t="shared" si="9"/>
        <v>0</v>
      </c>
      <c r="I108">
        <f t="shared" si="10"/>
        <v>4</v>
      </c>
      <c r="J108">
        <f t="shared" si="12"/>
        <v>0</v>
      </c>
      <c r="K108">
        <f t="shared" si="13"/>
        <v>0</v>
      </c>
      <c r="L108">
        <f t="shared" si="11"/>
        <v>0</v>
      </c>
    </row>
    <row r="109" spans="1:12" x14ac:dyDescent="0.25">
      <c r="A109">
        <v>6</v>
      </c>
      <c r="B109" s="1">
        <v>45340</v>
      </c>
      <c r="C109" t="s">
        <v>4</v>
      </c>
      <c r="D109">
        <v>8</v>
      </c>
      <c r="E109">
        <v>8</v>
      </c>
      <c r="F109" t="s">
        <v>91</v>
      </c>
      <c r="G109">
        <f t="shared" si="15"/>
        <v>3</v>
      </c>
      <c r="H109">
        <f t="shared" si="9"/>
        <v>0</v>
      </c>
      <c r="I109">
        <f t="shared" si="10"/>
        <v>3</v>
      </c>
      <c r="J109">
        <f t="shared" si="12"/>
        <v>0</v>
      </c>
      <c r="K109">
        <f t="shared" si="13"/>
        <v>0</v>
      </c>
      <c r="L109">
        <f t="shared" si="11"/>
        <v>0</v>
      </c>
    </row>
    <row r="110" spans="1:12" x14ac:dyDescent="0.25">
      <c r="A110">
        <v>6</v>
      </c>
      <c r="B110" s="1">
        <v>45340</v>
      </c>
      <c r="C110" t="s">
        <v>4</v>
      </c>
      <c r="D110">
        <v>9</v>
      </c>
      <c r="E110">
        <v>11</v>
      </c>
      <c r="F110" t="s">
        <v>20</v>
      </c>
      <c r="G110">
        <f t="shared" si="15"/>
        <v>2</v>
      </c>
      <c r="H110">
        <f t="shared" si="9"/>
        <v>0</v>
      </c>
      <c r="I110">
        <f t="shared" si="10"/>
        <v>2</v>
      </c>
      <c r="J110">
        <f t="shared" si="12"/>
        <v>0</v>
      </c>
      <c r="K110">
        <f t="shared" si="13"/>
        <v>0</v>
      </c>
      <c r="L110">
        <f t="shared" si="11"/>
        <v>-2</v>
      </c>
    </row>
    <row r="111" spans="1:12" x14ac:dyDescent="0.25">
      <c r="A111">
        <v>6</v>
      </c>
      <c r="B111" s="1">
        <v>45340</v>
      </c>
      <c r="C111" t="s">
        <v>4</v>
      </c>
      <c r="D111">
        <v>10</v>
      </c>
      <c r="E111">
        <v>10</v>
      </c>
      <c r="F111" t="s">
        <v>73</v>
      </c>
      <c r="G111">
        <f t="shared" si="15"/>
        <v>1</v>
      </c>
      <c r="H111">
        <f t="shared" si="9"/>
        <v>0</v>
      </c>
      <c r="I111">
        <f t="shared" si="10"/>
        <v>1</v>
      </c>
      <c r="J111">
        <f t="shared" si="12"/>
        <v>0</v>
      </c>
      <c r="K111">
        <f t="shared" si="13"/>
        <v>0</v>
      </c>
      <c r="L111">
        <f t="shared" si="11"/>
        <v>0</v>
      </c>
    </row>
    <row r="112" spans="1:12" x14ac:dyDescent="0.25">
      <c r="A112">
        <v>6</v>
      </c>
      <c r="B112" s="1">
        <v>45340</v>
      </c>
      <c r="C112" t="s">
        <v>29</v>
      </c>
      <c r="D112">
        <v>1</v>
      </c>
      <c r="E112">
        <v>1</v>
      </c>
      <c r="F112" t="s">
        <v>61</v>
      </c>
      <c r="G112">
        <f t="shared" si="15"/>
        <v>10</v>
      </c>
      <c r="H112">
        <f t="shared" si="9"/>
        <v>9</v>
      </c>
      <c r="I112">
        <f t="shared" si="10"/>
        <v>19</v>
      </c>
      <c r="J112">
        <f t="shared" si="12"/>
        <v>1</v>
      </c>
      <c r="K112">
        <f t="shared" si="13"/>
        <v>1</v>
      </c>
      <c r="L112">
        <f t="shared" si="11"/>
        <v>0</v>
      </c>
    </row>
    <row r="113" spans="1:12" x14ac:dyDescent="0.25">
      <c r="A113">
        <v>6</v>
      </c>
      <c r="B113" s="1">
        <v>45340</v>
      </c>
      <c r="C113" t="s">
        <v>29</v>
      </c>
      <c r="D113">
        <v>2</v>
      </c>
      <c r="E113">
        <v>2</v>
      </c>
      <c r="F113" t="s">
        <v>66</v>
      </c>
      <c r="G113">
        <f t="shared" si="15"/>
        <v>9</v>
      </c>
      <c r="H113">
        <f t="shared" si="9"/>
        <v>7</v>
      </c>
      <c r="I113">
        <f t="shared" si="10"/>
        <v>16</v>
      </c>
      <c r="J113">
        <f t="shared" si="12"/>
        <v>0</v>
      </c>
      <c r="K113">
        <f t="shared" si="13"/>
        <v>1</v>
      </c>
      <c r="L113">
        <f t="shared" si="11"/>
        <v>0</v>
      </c>
    </row>
    <row r="114" spans="1:12" x14ac:dyDescent="0.25">
      <c r="A114">
        <v>6</v>
      </c>
      <c r="B114" s="1">
        <v>45340</v>
      </c>
      <c r="C114" t="s">
        <v>29</v>
      </c>
      <c r="D114">
        <v>3</v>
      </c>
      <c r="E114">
        <v>3</v>
      </c>
      <c r="F114" t="s">
        <v>74</v>
      </c>
      <c r="G114">
        <f t="shared" si="15"/>
        <v>8</v>
      </c>
      <c r="H114">
        <f t="shared" si="9"/>
        <v>5</v>
      </c>
      <c r="I114">
        <f t="shared" si="10"/>
        <v>13</v>
      </c>
      <c r="J114">
        <f t="shared" si="12"/>
        <v>0</v>
      </c>
      <c r="K114">
        <f t="shared" si="13"/>
        <v>1</v>
      </c>
      <c r="L114">
        <f t="shared" si="11"/>
        <v>0</v>
      </c>
    </row>
    <row r="115" spans="1:12" x14ac:dyDescent="0.25">
      <c r="A115">
        <v>6</v>
      </c>
      <c r="B115" s="1">
        <v>45340</v>
      </c>
      <c r="C115" t="s">
        <v>29</v>
      </c>
      <c r="D115">
        <v>4</v>
      </c>
      <c r="E115">
        <v>4</v>
      </c>
      <c r="F115" t="s">
        <v>75</v>
      </c>
      <c r="G115">
        <f t="shared" si="15"/>
        <v>7</v>
      </c>
      <c r="H115">
        <f t="shared" si="9"/>
        <v>3</v>
      </c>
      <c r="I115">
        <f t="shared" si="10"/>
        <v>10</v>
      </c>
      <c r="J115">
        <f t="shared" si="12"/>
        <v>0</v>
      </c>
      <c r="K115">
        <f t="shared" si="13"/>
        <v>0</v>
      </c>
      <c r="L115">
        <f t="shared" si="11"/>
        <v>0</v>
      </c>
    </row>
    <row r="116" spans="1:12" x14ac:dyDescent="0.25">
      <c r="A116">
        <v>6</v>
      </c>
      <c r="B116" s="1">
        <v>45340</v>
      </c>
      <c r="C116" t="s">
        <v>29</v>
      </c>
      <c r="D116">
        <v>5</v>
      </c>
      <c r="E116">
        <v>5</v>
      </c>
      <c r="F116" t="s">
        <v>76</v>
      </c>
      <c r="G116">
        <f t="shared" si="15"/>
        <v>6</v>
      </c>
      <c r="H116">
        <f t="shared" si="9"/>
        <v>1</v>
      </c>
      <c r="I116">
        <f t="shared" si="10"/>
        <v>7</v>
      </c>
      <c r="J116">
        <f t="shared" si="12"/>
        <v>0</v>
      </c>
      <c r="K116">
        <f t="shared" si="13"/>
        <v>0</v>
      </c>
      <c r="L116">
        <f t="shared" si="11"/>
        <v>0</v>
      </c>
    </row>
    <row r="117" spans="1:12" x14ac:dyDescent="0.25">
      <c r="A117">
        <v>6</v>
      </c>
      <c r="B117" s="1">
        <v>45340</v>
      </c>
      <c r="C117" t="s">
        <v>29</v>
      </c>
      <c r="D117">
        <v>6</v>
      </c>
      <c r="E117">
        <v>10</v>
      </c>
      <c r="F117" t="s">
        <v>67</v>
      </c>
      <c r="G117">
        <f t="shared" si="15"/>
        <v>5</v>
      </c>
      <c r="H117">
        <f t="shared" si="9"/>
        <v>0</v>
      </c>
      <c r="I117">
        <f t="shared" si="10"/>
        <v>5</v>
      </c>
      <c r="J117">
        <f t="shared" si="12"/>
        <v>0</v>
      </c>
      <c r="K117">
        <f t="shared" si="13"/>
        <v>0</v>
      </c>
      <c r="L117">
        <f t="shared" si="11"/>
        <v>-4</v>
      </c>
    </row>
    <row r="118" spans="1:12" x14ac:dyDescent="0.25">
      <c r="A118">
        <v>6</v>
      </c>
      <c r="B118" s="1">
        <v>45340</v>
      </c>
      <c r="C118" t="s">
        <v>29</v>
      </c>
      <c r="D118">
        <v>7</v>
      </c>
      <c r="E118">
        <v>7</v>
      </c>
      <c r="F118" t="s">
        <v>78</v>
      </c>
      <c r="G118">
        <f t="shared" si="15"/>
        <v>4</v>
      </c>
      <c r="H118">
        <f t="shared" si="9"/>
        <v>0</v>
      </c>
      <c r="I118">
        <f t="shared" si="10"/>
        <v>4</v>
      </c>
      <c r="J118">
        <f t="shared" si="12"/>
        <v>0</v>
      </c>
      <c r="K118">
        <f t="shared" si="13"/>
        <v>0</v>
      </c>
      <c r="L118">
        <f t="shared" si="11"/>
        <v>0</v>
      </c>
    </row>
    <row r="119" spans="1:12" x14ac:dyDescent="0.25">
      <c r="A119">
        <v>6</v>
      </c>
      <c r="B119" s="1">
        <v>45340</v>
      </c>
      <c r="C119" t="s">
        <v>29</v>
      </c>
      <c r="D119">
        <v>8</v>
      </c>
      <c r="E119">
        <v>8</v>
      </c>
      <c r="F119" t="s">
        <v>79</v>
      </c>
      <c r="G119">
        <f t="shared" si="15"/>
        <v>3</v>
      </c>
      <c r="H119">
        <f t="shared" si="9"/>
        <v>0</v>
      </c>
      <c r="I119">
        <f t="shared" si="10"/>
        <v>3</v>
      </c>
      <c r="J119">
        <f t="shared" si="12"/>
        <v>0</v>
      </c>
      <c r="K119">
        <f t="shared" si="13"/>
        <v>0</v>
      </c>
      <c r="L119">
        <f t="shared" si="11"/>
        <v>0</v>
      </c>
    </row>
    <row r="120" spans="1:12" x14ac:dyDescent="0.25">
      <c r="A120">
        <v>6</v>
      </c>
      <c r="B120" s="1">
        <v>45340</v>
      </c>
      <c r="C120" t="s">
        <v>29</v>
      </c>
      <c r="D120">
        <v>9</v>
      </c>
      <c r="E120">
        <v>9</v>
      </c>
      <c r="F120" t="s">
        <v>80</v>
      </c>
      <c r="G120">
        <f t="shared" si="15"/>
        <v>2</v>
      </c>
      <c r="H120">
        <f t="shared" si="9"/>
        <v>0</v>
      </c>
      <c r="I120">
        <f t="shared" si="10"/>
        <v>2</v>
      </c>
      <c r="J120">
        <f t="shared" si="12"/>
        <v>0</v>
      </c>
      <c r="K120">
        <f t="shared" si="13"/>
        <v>0</v>
      </c>
      <c r="L120">
        <f t="shared" si="11"/>
        <v>0</v>
      </c>
    </row>
    <row r="121" spans="1:12" x14ac:dyDescent="0.25">
      <c r="A121">
        <v>6</v>
      </c>
      <c r="B121" s="1">
        <v>45340</v>
      </c>
      <c r="C121" t="s">
        <v>29</v>
      </c>
      <c r="D121">
        <v>10</v>
      </c>
      <c r="E121">
        <v>6</v>
      </c>
      <c r="F121" t="s">
        <v>77</v>
      </c>
      <c r="G121">
        <f t="shared" si="15"/>
        <v>1</v>
      </c>
      <c r="H121">
        <f t="shared" si="9"/>
        <v>0</v>
      </c>
      <c r="I121">
        <f t="shared" si="10"/>
        <v>1</v>
      </c>
      <c r="J121">
        <f t="shared" si="12"/>
        <v>0</v>
      </c>
      <c r="K121">
        <f t="shared" si="13"/>
        <v>0</v>
      </c>
      <c r="L121">
        <f t="shared" si="11"/>
        <v>4</v>
      </c>
    </row>
    <row r="122" spans="1:12" x14ac:dyDescent="0.25">
      <c r="A122">
        <v>7</v>
      </c>
      <c r="B122" s="1">
        <v>45347</v>
      </c>
      <c r="C122" t="s">
        <v>4</v>
      </c>
      <c r="D122">
        <v>1</v>
      </c>
      <c r="E122">
        <v>1</v>
      </c>
      <c r="F122" t="s">
        <v>56</v>
      </c>
      <c r="G122">
        <f t="shared" ref="G122:G141" si="16">11-D122</f>
        <v>10</v>
      </c>
      <c r="H122">
        <f t="shared" si="9"/>
        <v>9</v>
      </c>
      <c r="I122">
        <f t="shared" si="10"/>
        <v>19</v>
      </c>
      <c r="J122">
        <f t="shared" si="12"/>
        <v>1</v>
      </c>
      <c r="K122">
        <f t="shared" si="13"/>
        <v>1</v>
      </c>
      <c r="L122">
        <f t="shared" si="11"/>
        <v>0</v>
      </c>
    </row>
    <row r="123" spans="1:12" x14ac:dyDescent="0.25">
      <c r="A123">
        <v>7</v>
      </c>
      <c r="B123" s="1">
        <v>45347</v>
      </c>
      <c r="C123" t="s">
        <v>4</v>
      </c>
      <c r="D123">
        <v>2</v>
      </c>
      <c r="E123">
        <v>2</v>
      </c>
      <c r="F123" t="s">
        <v>55</v>
      </c>
      <c r="G123">
        <f t="shared" si="16"/>
        <v>9</v>
      </c>
      <c r="H123">
        <f t="shared" si="9"/>
        <v>7</v>
      </c>
      <c r="I123">
        <f t="shared" si="10"/>
        <v>16</v>
      </c>
      <c r="J123">
        <f t="shared" si="12"/>
        <v>0</v>
      </c>
      <c r="K123">
        <f t="shared" si="13"/>
        <v>1</v>
      </c>
      <c r="L123">
        <f t="shared" si="11"/>
        <v>0</v>
      </c>
    </row>
    <row r="124" spans="1:12" x14ac:dyDescent="0.25">
      <c r="A124">
        <v>7</v>
      </c>
      <c r="B124" s="1">
        <v>45347</v>
      </c>
      <c r="C124" t="s">
        <v>4</v>
      </c>
      <c r="D124">
        <v>3</v>
      </c>
      <c r="E124">
        <v>4</v>
      </c>
      <c r="F124" t="s">
        <v>26</v>
      </c>
      <c r="G124">
        <f t="shared" si="16"/>
        <v>8</v>
      </c>
      <c r="H124">
        <f t="shared" si="9"/>
        <v>5</v>
      </c>
      <c r="I124">
        <f t="shared" si="10"/>
        <v>13</v>
      </c>
      <c r="J124">
        <f t="shared" si="12"/>
        <v>0</v>
      </c>
      <c r="K124">
        <f t="shared" si="13"/>
        <v>1</v>
      </c>
      <c r="L124">
        <f t="shared" si="11"/>
        <v>-1</v>
      </c>
    </row>
    <row r="125" spans="1:12" x14ac:dyDescent="0.25">
      <c r="A125">
        <v>7</v>
      </c>
      <c r="B125" s="1">
        <v>45347</v>
      </c>
      <c r="C125" t="s">
        <v>4</v>
      </c>
      <c r="D125">
        <v>4</v>
      </c>
      <c r="E125">
        <v>7</v>
      </c>
      <c r="F125" t="s">
        <v>54</v>
      </c>
      <c r="G125">
        <f t="shared" si="16"/>
        <v>7</v>
      </c>
      <c r="H125">
        <f t="shared" si="9"/>
        <v>3</v>
      </c>
      <c r="I125">
        <f t="shared" si="10"/>
        <v>10</v>
      </c>
      <c r="J125">
        <f t="shared" si="12"/>
        <v>0</v>
      </c>
      <c r="K125">
        <f t="shared" si="13"/>
        <v>0</v>
      </c>
      <c r="L125">
        <f t="shared" si="11"/>
        <v>-3</v>
      </c>
    </row>
    <row r="126" spans="1:12" x14ac:dyDescent="0.25">
      <c r="A126">
        <v>7</v>
      </c>
      <c r="B126" s="1">
        <v>45347</v>
      </c>
      <c r="C126" t="s">
        <v>4</v>
      </c>
      <c r="D126">
        <v>5</v>
      </c>
      <c r="E126">
        <v>6</v>
      </c>
      <c r="F126" t="s">
        <v>68</v>
      </c>
      <c r="G126">
        <f t="shared" si="16"/>
        <v>6</v>
      </c>
      <c r="H126">
        <f t="shared" si="9"/>
        <v>1</v>
      </c>
      <c r="I126">
        <f t="shared" si="10"/>
        <v>7</v>
      </c>
      <c r="J126">
        <f t="shared" si="12"/>
        <v>0</v>
      </c>
      <c r="K126">
        <f t="shared" si="13"/>
        <v>0</v>
      </c>
      <c r="L126">
        <f t="shared" si="11"/>
        <v>-1</v>
      </c>
    </row>
    <row r="127" spans="1:12" x14ac:dyDescent="0.25">
      <c r="A127">
        <v>7</v>
      </c>
      <c r="B127" s="1">
        <v>45347</v>
      </c>
      <c r="C127" t="s">
        <v>4</v>
      </c>
      <c r="D127">
        <v>6</v>
      </c>
      <c r="E127">
        <v>8</v>
      </c>
      <c r="F127" t="s">
        <v>91</v>
      </c>
      <c r="G127">
        <f t="shared" si="16"/>
        <v>5</v>
      </c>
      <c r="H127">
        <f t="shared" si="9"/>
        <v>0</v>
      </c>
      <c r="I127">
        <f t="shared" si="10"/>
        <v>5</v>
      </c>
      <c r="J127">
        <f t="shared" si="12"/>
        <v>0</v>
      </c>
      <c r="K127">
        <f t="shared" si="13"/>
        <v>0</v>
      </c>
      <c r="L127">
        <f t="shared" si="11"/>
        <v>-2</v>
      </c>
    </row>
    <row r="128" spans="1:12" x14ac:dyDescent="0.25">
      <c r="A128">
        <v>7</v>
      </c>
      <c r="B128" s="1">
        <v>45347</v>
      </c>
      <c r="C128" t="s">
        <v>4</v>
      </c>
      <c r="D128">
        <v>7</v>
      </c>
      <c r="E128">
        <v>3</v>
      </c>
      <c r="F128" t="s">
        <v>70</v>
      </c>
      <c r="G128">
        <f t="shared" si="16"/>
        <v>4</v>
      </c>
      <c r="H128">
        <f t="shared" si="9"/>
        <v>0</v>
      </c>
      <c r="I128">
        <f t="shared" si="10"/>
        <v>4</v>
      </c>
      <c r="J128">
        <f t="shared" si="12"/>
        <v>0</v>
      </c>
      <c r="K128">
        <f t="shared" si="13"/>
        <v>0</v>
      </c>
      <c r="L128">
        <f t="shared" si="11"/>
        <v>4</v>
      </c>
    </row>
    <row r="129" spans="1:12" x14ac:dyDescent="0.25">
      <c r="A129">
        <v>7</v>
      </c>
      <c r="B129" s="1">
        <v>45347</v>
      </c>
      <c r="C129" t="s">
        <v>4</v>
      </c>
      <c r="D129">
        <v>8</v>
      </c>
      <c r="E129">
        <v>9</v>
      </c>
      <c r="F129" t="s">
        <v>20</v>
      </c>
      <c r="G129">
        <f t="shared" si="16"/>
        <v>3</v>
      </c>
      <c r="H129">
        <f t="shared" si="9"/>
        <v>0</v>
      </c>
      <c r="I129">
        <f t="shared" si="10"/>
        <v>3</v>
      </c>
      <c r="J129">
        <f t="shared" si="12"/>
        <v>0</v>
      </c>
      <c r="K129">
        <f t="shared" si="13"/>
        <v>0</v>
      </c>
      <c r="L129">
        <f t="shared" si="11"/>
        <v>-1</v>
      </c>
    </row>
    <row r="130" spans="1:12" x14ac:dyDescent="0.25">
      <c r="A130">
        <v>7</v>
      </c>
      <c r="B130" s="1">
        <v>45347</v>
      </c>
      <c r="C130" t="s">
        <v>4</v>
      </c>
      <c r="D130">
        <v>9</v>
      </c>
      <c r="E130">
        <v>11</v>
      </c>
      <c r="F130" t="s">
        <v>92</v>
      </c>
      <c r="G130">
        <f t="shared" si="16"/>
        <v>2</v>
      </c>
      <c r="H130">
        <f t="shared" si="9"/>
        <v>0</v>
      </c>
      <c r="I130">
        <f t="shared" si="10"/>
        <v>2</v>
      </c>
      <c r="J130">
        <f t="shared" si="12"/>
        <v>0</v>
      </c>
      <c r="K130">
        <f t="shared" si="13"/>
        <v>0</v>
      </c>
      <c r="L130">
        <f t="shared" si="11"/>
        <v>-2</v>
      </c>
    </row>
    <row r="131" spans="1:12" x14ac:dyDescent="0.25">
      <c r="A131">
        <v>7</v>
      </c>
      <c r="B131" s="1">
        <v>45347</v>
      </c>
      <c r="C131" t="s">
        <v>4</v>
      </c>
      <c r="D131">
        <v>10</v>
      </c>
      <c r="E131">
        <v>11</v>
      </c>
      <c r="F131" t="s">
        <v>57</v>
      </c>
      <c r="G131">
        <f t="shared" si="16"/>
        <v>1</v>
      </c>
      <c r="H131">
        <f t="shared" ref="H131:H194" si="17">IF(D131&lt;6,11-2*D131,0)</f>
        <v>0</v>
      </c>
      <c r="I131">
        <f t="shared" ref="I131:I194" si="18">G131+H131</f>
        <v>1</v>
      </c>
      <c r="J131">
        <f t="shared" si="12"/>
        <v>0</v>
      </c>
      <c r="K131">
        <f t="shared" si="13"/>
        <v>0</v>
      </c>
      <c r="L131">
        <f t="shared" ref="L131:L194" si="19">D131-E131</f>
        <v>-1</v>
      </c>
    </row>
    <row r="132" spans="1:12" x14ac:dyDescent="0.25">
      <c r="A132">
        <v>7</v>
      </c>
      <c r="B132" s="1">
        <v>45347</v>
      </c>
      <c r="C132" t="s">
        <v>29</v>
      </c>
      <c r="D132">
        <v>1</v>
      </c>
      <c r="E132">
        <v>1</v>
      </c>
      <c r="F132" t="s">
        <v>61</v>
      </c>
      <c r="G132">
        <f t="shared" si="16"/>
        <v>10</v>
      </c>
      <c r="H132">
        <f t="shared" si="17"/>
        <v>9</v>
      </c>
      <c r="I132">
        <f t="shared" si="18"/>
        <v>19</v>
      </c>
      <c r="J132">
        <f t="shared" si="12"/>
        <v>1</v>
      </c>
      <c r="K132">
        <f t="shared" si="13"/>
        <v>1</v>
      </c>
      <c r="L132">
        <f t="shared" si="19"/>
        <v>0</v>
      </c>
    </row>
    <row r="133" spans="1:12" x14ac:dyDescent="0.25">
      <c r="A133">
        <v>7</v>
      </c>
      <c r="B133" s="1">
        <v>45347</v>
      </c>
      <c r="C133" t="s">
        <v>29</v>
      </c>
      <c r="D133">
        <v>2</v>
      </c>
      <c r="E133">
        <v>2</v>
      </c>
      <c r="F133" t="s">
        <v>66</v>
      </c>
      <c r="G133">
        <f t="shared" si="16"/>
        <v>9</v>
      </c>
      <c r="H133">
        <f t="shared" si="17"/>
        <v>7</v>
      </c>
      <c r="I133">
        <f t="shared" si="18"/>
        <v>16</v>
      </c>
      <c r="J133">
        <f t="shared" si="12"/>
        <v>0</v>
      </c>
      <c r="K133">
        <f t="shared" si="13"/>
        <v>1</v>
      </c>
      <c r="L133">
        <f t="shared" si="19"/>
        <v>0</v>
      </c>
    </row>
    <row r="134" spans="1:12" x14ac:dyDescent="0.25">
      <c r="A134">
        <v>7</v>
      </c>
      <c r="B134" s="1">
        <v>45347</v>
      </c>
      <c r="C134" t="s">
        <v>29</v>
      </c>
      <c r="D134">
        <v>3</v>
      </c>
      <c r="E134">
        <v>5</v>
      </c>
      <c r="F134" t="s">
        <v>76</v>
      </c>
      <c r="G134">
        <f t="shared" si="16"/>
        <v>8</v>
      </c>
      <c r="H134">
        <f t="shared" si="17"/>
        <v>5</v>
      </c>
      <c r="I134">
        <f t="shared" si="18"/>
        <v>13</v>
      </c>
      <c r="J134">
        <f t="shared" si="12"/>
        <v>0</v>
      </c>
      <c r="K134">
        <f t="shared" si="13"/>
        <v>1</v>
      </c>
      <c r="L134">
        <f t="shared" si="19"/>
        <v>-2</v>
      </c>
    </row>
    <row r="135" spans="1:12" x14ac:dyDescent="0.25">
      <c r="A135">
        <v>7</v>
      </c>
      <c r="B135" s="1">
        <v>45347</v>
      </c>
      <c r="C135" t="s">
        <v>29</v>
      </c>
      <c r="D135">
        <v>4</v>
      </c>
      <c r="E135">
        <v>4</v>
      </c>
      <c r="F135" t="s">
        <v>75</v>
      </c>
      <c r="G135">
        <f t="shared" si="16"/>
        <v>7</v>
      </c>
      <c r="H135">
        <f t="shared" si="17"/>
        <v>3</v>
      </c>
      <c r="I135">
        <f t="shared" si="18"/>
        <v>10</v>
      </c>
      <c r="J135">
        <f t="shared" si="12"/>
        <v>0</v>
      </c>
      <c r="K135">
        <f t="shared" si="13"/>
        <v>0</v>
      </c>
      <c r="L135">
        <f t="shared" si="19"/>
        <v>0</v>
      </c>
    </row>
    <row r="136" spans="1:12" x14ac:dyDescent="0.25">
      <c r="A136">
        <v>7</v>
      </c>
      <c r="B136" s="1">
        <v>45347</v>
      </c>
      <c r="C136" t="s">
        <v>29</v>
      </c>
      <c r="D136">
        <v>5</v>
      </c>
      <c r="E136">
        <v>3</v>
      </c>
      <c r="F136" t="s">
        <v>74</v>
      </c>
      <c r="G136">
        <f t="shared" si="16"/>
        <v>6</v>
      </c>
      <c r="H136">
        <f t="shared" si="17"/>
        <v>1</v>
      </c>
      <c r="I136">
        <f t="shared" si="18"/>
        <v>7</v>
      </c>
      <c r="J136">
        <f t="shared" si="12"/>
        <v>0</v>
      </c>
      <c r="K136">
        <f t="shared" si="13"/>
        <v>0</v>
      </c>
      <c r="L136">
        <f t="shared" si="19"/>
        <v>2</v>
      </c>
    </row>
    <row r="137" spans="1:12" x14ac:dyDescent="0.25">
      <c r="A137">
        <v>7</v>
      </c>
      <c r="B137" s="1">
        <v>45347</v>
      </c>
      <c r="C137" t="s">
        <v>29</v>
      </c>
      <c r="D137">
        <v>6</v>
      </c>
      <c r="E137">
        <v>6</v>
      </c>
      <c r="F137" t="s">
        <v>67</v>
      </c>
      <c r="G137">
        <f t="shared" si="16"/>
        <v>5</v>
      </c>
      <c r="H137">
        <f t="shared" si="17"/>
        <v>0</v>
      </c>
      <c r="I137">
        <f t="shared" si="18"/>
        <v>5</v>
      </c>
      <c r="J137">
        <f t="shared" si="12"/>
        <v>0</v>
      </c>
      <c r="K137">
        <f t="shared" si="13"/>
        <v>0</v>
      </c>
      <c r="L137">
        <f t="shared" si="19"/>
        <v>0</v>
      </c>
    </row>
    <row r="138" spans="1:12" x14ac:dyDescent="0.25">
      <c r="A138">
        <v>7</v>
      </c>
      <c r="B138" s="1">
        <v>45347</v>
      </c>
      <c r="C138" t="s">
        <v>29</v>
      </c>
      <c r="D138">
        <v>7</v>
      </c>
      <c r="E138">
        <v>11</v>
      </c>
      <c r="F138" t="s">
        <v>93</v>
      </c>
      <c r="G138">
        <f t="shared" si="16"/>
        <v>4</v>
      </c>
      <c r="H138">
        <f t="shared" si="17"/>
        <v>0</v>
      </c>
      <c r="I138">
        <f t="shared" si="18"/>
        <v>4</v>
      </c>
      <c r="J138">
        <f t="shared" si="12"/>
        <v>0</v>
      </c>
      <c r="K138">
        <f t="shared" si="13"/>
        <v>0</v>
      </c>
      <c r="L138">
        <f t="shared" si="19"/>
        <v>-4</v>
      </c>
    </row>
    <row r="139" spans="1:12" x14ac:dyDescent="0.25">
      <c r="A139">
        <v>7</v>
      </c>
      <c r="B139" s="1">
        <v>45347</v>
      </c>
      <c r="C139" t="s">
        <v>29</v>
      </c>
      <c r="D139">
        <v>8</v>
      </c>
      <c r="E139">
        <v>9</v>
      </c>
      <c r="F139" t="s">
        <v>80</v>
      </c>
      <c r="G139">
        <f t="shared" si="16"/>
        <v>3</v>
      </c>
      <c r="H139">
        <f t="shared" si="17"/>
        <v>0</v>
      </c>
      <c r="I139">
        <f t="shared" si="18"/>
        <v>3</v>
      </c>
      <c r="J139">
        <f t="shared" si="12"/>
        <v>0</v>
      </c>
      <c r="K139">
        <f t="shared" si="13"/>
        <v>0</v>
      </c>
      <c r="L139">
        <f t="shared" si="19"/>
        <v>-1</v>
      </c>
    </row>
    <row r="140" spans="1:12" x14ac:dyDescent="0.25">
      <c r="A140">
        <v>7</v>
      </c>
      <c r="B140" s="1">
        <v>45347</v>
      </c>
      <c r="C140" t="s">
        <v>29</v>
      </c>
      <c r="D140">
        <v>9</v>
      </c>
      <c r="E140">
        <v>11</v>
      </c>
      <c r="F140" t="s">
        <v>60</v>
      </c>
      <c r="G140">
        <f t="shared" si="16"/>
        <v>2</v>
      </c>
      <c r="H140">
        <f t="shared" si="17"/>
        <v>0</v>
      </c>
      <c r="I140">
        <f t="shared" si="18"/>
        <v>2</v>
      </c>
      <c r="J140">
        <f t="shared" si="12"/>
        <v>0</v>
      </c>
      <c r="K140">
        <f t="shared" si="13"/>
        <v>0</v>
      </c>
      <c r="L140">
        <f t="shared" si="19"/>
        <v>-2</v>
      </c>
    </row>
    <row r="141" spans="1:12" x14ac:dyDescent="0.25">
      <c r="A141">
        <v>7</v>
      </c>
      <c r="B141" s="1">
        <v>45347</v>
      </c>
      <c r="C141" t="s">
        <v>29</v>
      </c>
      <c r="D141">
        <v>10</v>
      </c>
      <c r="E141">
        <v>11</v>
      </c>
      <c r="F141" t="s">
        <v>51</v>
      </c>
      <c r="G141">
        <f t="shared" si="16"/>
        <v>1</v>
      </c>
      <c r="H141">
        <f t="shared" si="17"/>
        <v>0</v>
      </c>
      <c r="I141">
        <f t="shared" si="18"/>
        <v>1</v>
      </c>
      <c r="J141">
        <f t="shared" ref="J141:J204" si="20">COUNTIF(D141,"=1")</f>
        <v>0</v>
      </c>
      <c r="K141">
        <f t="shared" ref="K141:K204" si="21">COUNTIF(D141,"&lt;4")</f>
        <v>0</v>
      </c>
      <c r="L141">
        <f t="shared" si="19"/>
        <v>-1</v>
      </c>
    </row>
    <row r="142" spans="1:12" x14ac:dyDescent="0.25">
      <c r="A142">
        <v>8</v>
      </c>
      <c r="B142" s="1">
        <v>45354</v>
      </c>
      <c r="C142" t="s">
        <v>4</v>
      </c>
      <c r="D142">
        <v>1</v>
      </c>
      <c r="E142">
        <v>2</v>
      </c>
      <c r="F142" t="s">
        <v>55</v>
      </c>
      <c r="G142">
        <f t="shared" ref="G142:G161" si="22">11-D142</f>
        <v>10</v>
      </c>
      <c r="H142">
        <f t="shared" si="17"/>
        <v>9</v>
      </c>
      <c r="I142">
        <f t="shared" si="18"/>
        <v>19</v>
      </c>
      <c r="J142">
        <f t="shared" si="20"/>
        <v>1</v>
      </c>
      <c r="K142">
        <f t="shared" si="21"/>
        <v>1</v>
      </c>
      <c r="L142">
        <f t="shared" si="19"/>
        <v>-1</v>
      </c>
    </row>
    <row r="143" spans="1:12" x14ac:dyDescent="0.25">
      <c r="A143">
        <v>8</v>
      </c>
      <c r="B143" s="1">
        <v>45354</v>
      </c>
      <c r="C143" t="s">
        <v>4</v>
      </c>
      <c r="D143">
        <v>2</v>
      </c>
      <c r="E143">
        <v>3</v>
      </c>
      <c r="F143" t="s">
        <v>26</v>
      </c>
      <c r="G143">
        <f t="shared" si="22"/>
        <v>9</v>
      </c>
      <c r="H143">
        <f t="shared" si="17"/>
        <v>7</v>
      </c>
      <c r="I143">
        <f t="shared" si="18"/>
        <v>16</v>
      </c>
      <c r="J143">
        <f t="shared" si="20"/>
        <v>0</v>
      </c>
      <c r="K143">
        <f t="shared" si="21"/>
        <v>1</v>
      </c>
      <c r="L143">
        <f t="shared" si="19"/>
        <v>-1</v>
      </c>
    </row>
    <row r="144" spans="1:12" x14ac:dyDescent="0.25">
      <c r="A144">
        <v>8</v>
      </c>
      <c r="B144" s="1">
        <v>45354</v>
      </c>
      <c r="C144" t="s">
        <v>4</v>
      </c>
      <c r="D144">
        <v>3</v>
      </c>
      <c r="E144">
        <v>1</v>
      </c>
      <c r="F144" t="s">
        <v>56</v>
      </c>
      <c r="G144">
        <f t="shared" si="22"/>
        <v>8</v>
      </c>
      <c r="H144">
        <f t="shared" si="17"/>
        <v>5</v>
      </c>
      <c r="I144">
        <f t="shared" si="18"/>
        <v>13</v>
      </c>
      <c r="J144">
        <f t="shared" si="20"/>
        <v>0</v>
      </c>
      <c r="K144">
        <f t="shared" si="21"/>
        <v>1</v>
      </c>
      <c r="L144">
        <f t="shared" si="19"/>
        <v>2</v>
      </c>
    </row>
    <row r="145" spans="1:12" x14ac:dyDescent="0.25">
      <c r="A145">
        <v>8</v>
      </c>
      <c r="B145" s="1">
        <v>45354</v>
      </c>
      <c r="C145" t="s">
        <v>4</v>
      </c>
      <c r="D145">
        <v>4</v>
      </c>
      <c r="E145">
        <v>4</v>
      </c>
      <c r="F145" t="s">
        <v>54</v>
      </c>
      <c r="G145">
        <f t="shared" si="22"/>
        <v>7</v>
      </c>
      <c r="H145">
        <f t="shared" si="17"/>
        <v>3</v>
      </c>
      <c r="I145">
        <f t="shared" si="18"/>
        <v>10</v>
      </c>
      <c r="J145">
        <f t="shared" si="20"/>
        <v>0</v>
      </c>
      <c r="K145">
        <f t="shared" si="21"/>
        <v>0</v>
      </c>
      <c r="L145">
        <f t="shared" si="19"/>
        <v>0</v>
      </c>
    </row>
    <row r="146" spans="1:12" x14ac:dyDescent="0.25">
      <c r="A146">
        <v>8</v>
      </c>
      <c r="B146" s="1">
        <v>45354</v>
      </c>
      <c r="C146" t="s">
        <v>4</v>
      </c>
      <c r="D146">
        <v>5</v>
      </c>
      <c r="E146">
        <v>9</v>
      </c>
      <c r="F146" t="s">
        <v>92</v>
      </c>
      <c r="G146">
        <f t="shared" si="22"/>
        <v>6</v>
      </c>
      <c r="H146">
        <f t="shared" si="17"/>
        <v>1</v>
      </c>
      <c r="I146">
        <f t="shared" si="18"/>
        <v>7</v>
      </c>
      <c r="J146">
        <f t="shared" si="20"/>
        <v>0</v>
      </c>
      <c r="K146">
        <f t="shared" si="21"/>
        <v>0</v>
      </c>
      <c r="L146">
        <f t="shared" si="19"/>
        <v>-4</v>
      </c>
    </row>
    <row r="147" spans="1:12" x14ac:dyDescent="0.25">
      <c r="A147">
        <v>8</v>
      </c>
      <c r="B147" s="1">
        <v>45354</v>
      </c>
      <c r="C147" t="s">
        <v>4</v>
      </c>
      <c r="D147">
        <v>6</v>
      </c>
      <c r="E147">
        <v>8</v>
      </c>
      <c r="F147" t="s">
        <v>20</v>
      </c>
      <c r="G147">
        <f t="shared" si="22"/>
        <v>5</v>
      </c>
      <c r="H147">
        <f t="shared" si="17"/>
        <v>0</v>
      </c>
      <c r="I147">
        <f t="shared" si="18"/>
        <v>5</v>
      </c>
      <c r="J147">
        <f t="shared" si="20"/>
        <v>0</v>
      </c>
      <c r="K147">
        <f t="shared" si="21"/>
        <v>0</v>
      </c>
      <c r="L147">
        <f t="shared" si="19"/>
        <v>-2</v>
      </c>
    </row>
    <row r="148" spans="1:12" x14ac:dyDescent="0.25">
      <c r="A148">
        <v>8</v>
      </c>
      <c r="B148" s="1">
        <v>45354</v>
      </c>
      <c r="C148" t="s">
        <v>4</v>
      </c>
      <c r="D148">
        <v>7</v>
      </c>
      <c r="E148">
        <v>10</v>
      </c>
      <c r="F148" t="s">
        <v>57</v>
      </c>
      <c r="G148">
        <f t="shared" si="22"/>
        <v>4</v>
      </c>
      <c r="H148">
        <f t="shared" si="17"/>
        <v>0</v>
      </c>
      <c r="I148">
        <f t="shared" si="18"/>
        <v>4</v>
      </c>
      <c r="J148">
        <f t="shared" si="20"/>
        <v>0</v>
      </c>
      <c r="K148">
        <f t="shared" si="21"/>
        <v>0</v>
      </c>
      <c r="L148">
        <f t="shared" si="19"/>
        <v>-3</v>
      </c>
    </row>
    <row r="149" spans="1:12" x14ac:dyDescent="0.25">
      <c r="A149">
        <v>8</v>
      </c>
      <c r="B149" s="1">
        <v>45354</v>
      </c>
      <c r="C149" t="s">
        <v>4</v>
      </c>
      <c r="D149">
        <v>8</v>
      </c>
      <c r="E149">
        <v>5</v>
      </c>
      <c r="F149" t="s">
        <v>68</v>
      </c>
      <c r="G149">
        <f t="shared" si="22"/>
        <v>3</v>
      </c>
      <c r="H149">
        <f t="shared" si="17"/>
        <v>0</v>
      </c>
      <c r="I149">
        <f t="shared" si="18"/>
        <v>3</v>
      </c>
      <c r="J149">
        <f t="shared" si="20"/>
        <v>0</v>
      </c>
      <c r="K149">
        <f t="shared" si="21"/>
        <v>0</v>
      </c>
      <c r="L149">
        <f t="shared" si="19"/>
        <v>3</v>
      </c>
    </row>
    <row r="150" spans="1:12" x14ac:dyDescent="0.25">
      <c r="A150">
        <v>8</v>
      </c>
      <c r="B150" s="1">
        <v>45354</v>
      </c>
      <c r="C150" t="s">
        <v>4</v>
      </c>
      <c r="D150">
        <v>9</v>
      </c>
      <c r="E150">
        <v>11</v>
      </c>
      <c r="F150" t="s">
        <v>12</v>
      </c>
      <c r="G150">
        <f t="shared" si="22"/>
        <v>2</v>
      </c>
      <c r="H150">
        <f t="shared" si="17"/>
        <v>0</v>
      </c>
      <c r="I150">
        <f t="shared" si="18"/>
        <v>2</v>
      </c>
      <c r="J150">
        <f t="shared" si="20"/>
        <v>0</v>
      </c>
      <c r="K150">
        <f t="shared" si="21"/>
        <v>0</v>
      </c>
      <c r="L150">
        <f t="shared" si="19"/>
        <v>-2</v>
      </c>
    </row>
    <row r="151" spans="1:12" x14ac:dyDescent="0.25">
      <c r="A151">
        <v>8</v>
      </c>
      <c r="B151" s="1">
        <v>45354</v>
      </c>
      <c r="C151" t="s">
        <v>4</v>
      </c>
      <c r="D151">
        <v>10</v>
      </c>
      <c r="E151">
        <v>7</v>
      </c>
      <c r="F151" t="s">
        <v>70</v>
      </c>
      <c r="G151">
        <f t="shared" si="22"/>
        <v>1</v>
      </c>
      <c r="H151">
        <f t="shared" si="17"/>
        <v>0</v>
      </c>
      <c r="I151">
        <f t="shared" si="18"/>
        <v>1</v>
      </c>
      <c r="J151">
        <f t="shared" si="20"/>
        <v>0</v>
      </c>
      <c r="K151">
        <f t="shared" si="21"/>
        <v>0</v>
      </c>
      <c r="L151">
        <f t="shared" si="19"/>
        <v>3</v>
      </c>
    </row>
    <row r="152" spans="1:12" x14ac:dyDescent="0.25">
      <c r="A152">
        <v>8</v>
      </c>
      <c r="B152" s="1">
        <v>45354</v>
      </c>
      <c r="C152" t="s">
        <v>29</v>
      </c>
      <c r="D152">
        <v>1</v>
      </c>
      <c r="E152">
        <v>1</v>
      </c>
      <c r="F152" t="s">
        <v>61</v>
      </c>
      <c r="G152">
        <f t="shared" si="22"/>
        <v>10</v>
      </c>
      <c r="H152">
        <f t="shared" si="17"/>
        <v>9</v>
      </c>
      <c r="I152">
        <f t="shared" si="18"/>
        <v>19</v>
      </c>
      <c r="J152">
        <f t="shared" si="20"/>
        <v>1</v>
      </c>
      <c r="K152">
        <f t="shared" si="21"/>
        <v>1</v>
      </c>
      <c r="L152">
        <f t="shared" si="19"/>
        <v>0</v>
      </c>
    </row>
    <row r="153" spans="1:12" x14ac:dyDescent="0.25">
      <c r="A153">
        <v>8</v>
      </c>
      <c r="B153" s="1">
        <v>45354</v>
      </c>
      <c r="C153" t="s">
        <v>29</v>
      </c>
      <c r="D153">
        <v>2</v>
      </c>
      <c r="E153">
        <v>3</v>
      </c>
      <c r="F153" t="s">
        <v>76</v>
      </c>
      <c r="G153">
        <f t="shared" si="22"/>
        <v>9</v>
      </c>
      <c r="H153">
        <f t="shared" si="17"/>
        <v>7</v>
      </c>
      <c r="I153">
        <f t="shared" si="18"/>
        <v>16</v>
      </c>
      <c r="J153">
        <f t="shared" si="20"/>
        <v>0</v>
      </c>
      <c r="K153">
        <f t="shared" si="21"/>
        <v>1</v>
      </c>
      <c r="L153">
        <f t="shared" si="19"/>
        <v>-1</v>
      </c>
    </row>
    <row r="154" spans="1:12" x14ac:dyDescent="0.25">
      <c r="A154">
        <v>8</v>
      </c>
      <c r="B154" s="1">
        <v>45354</v>
      </c>
      <c r="C154" t="s">
        <v>29</v>
      </c>
      <c r="D154">
        <v>3</v>
      </c>
      <c r="E154">
        <v>2</v>
      </c>
      <c r="F154" t="s">
        <v>66</v>
      </c>
      <c r="G154">
        <f t="shared" si="22"/>
        <v>8</v>
      </c>
      <c r="H154">
        <f t="shared" si="17"/>
        <v>5</v>
      </c>
      <c r="I154">
        <f t="shared" si="18"/>
        <v>13</v>
      </c>
      <c r="J154">
        <f t="shared" si="20"/>
        <v>0</v>
      </c>
      <c r="K154">
        <f t="shared" si="21"/>
        <v>1</v>
      </c>
      <c r="L154">
        <f t="shared" si="19"/>
        <v>1</v>
      </c>
    </row>
    <row r="155" spans="1:12" x14ac:dyDescent="0.25">
      <c r="A155">
        <v>8</v>
      </c>
      <c r="B155" s="1">
        <v>45354</v>
      </c>
      <c r="C155" t="s">
        <v>29</v>
      </c>
      <c r="D155">
        <v>4</v>
      </c>
      <c r="E155">
        <v>9</v>
      </c>
      <c r="F155" t="s">
        <v>60</v>
      </c>
      <c r="G155">
        <f t="shared" si="22"/>
        <v>7</v>
      </c>
      <c r="H155">
        <f t="shared" si="17"/>
        <v>3</v>
      </c>
      <c r="I155">
        <f t="shared" si="18"/>
        <v>10</v>
      </c>
      <c r="J155">
        <f t="shared" si="20"/>
        <v>0</v>
      </c>
      <c r="K155">
        <f t="shared" si="21"/>
        <v>0</v>
      </c>
      <c r="L155">
        <f t="shared" si="19"/>
        <v>-5</v>
      </c>
    </row>
    <row r="156" spans="1:12" x14ac:dyDescent="0.25">
      <c r="A156">
        <v>8</v>
      </c>
      <c r="B156" s="1">
        <v>45354</v>
      </c>
      <c r="C156" t="s">
        <v>29</v>
      </c>
      <c r="D156">
        <v>5</v>
      </c>
      <c r="E156">
        <v>11</v>
      </c>
      <c r="F156" t="s">
        <v>62</v>
      </c>
      <c r="G156">
        <f t="shared" si="22"/>
        <v>6</v>
      </c>
      <c r="H156">
        <f t="shared" si="17"/>
        <v>1</v>
      </c>
      <c r="I156">
        <f t="shared" si="18"/>
        <v>7</v>
      </c>
      <c r="J156">
        <f t="shared" si="20"/>
        <v>0</v>
      </c>
      <c r="K156">
        <f t="shared" si="21"/>
        <v>0</v>
      </c>
      <c r="L156">
        <f t="shared" si="19"/>
        <v>-6</v>
      </c>
    </row>
    <row r="157" spans="1:12" x14ac:dyDescent="0.25">
      <c r="A157">
        <v>8</v>
      </c>
      <c r="B157" s="1">
        <v>45354</v>
      </c>
      <c r="C157" t="s">
        <v>29</v>
      </c>
      <c r="D157">
        <v>6</v>
      </c>
      <c r="E157">
        <v>6</v>
      </c>
      <c r="F157" t="s">
        <v>67</v>
      </c>
      <c r="G157">
        <f t="shared" si="22"/>
        <v>5</v>
      </c>
      <c r="H157">
        <f t="shared" si="17"/>
        <v>0</v>
      </c>
      <c r="I157">
        <f t="shared" si="18"/>
        <v>5</v>
      </c>
      <c r="J157">
        <f t="shared" si="20"/>
        <v>0</v>
      </c>
      <c r="K157">
        <f t="shared" si="21"/>
        <v>0</v>
      </c>
      <c r="L157">
        <f t="shared" si="19"/>
        <v>0</v>
      </c>
    </row>
    <row r="158" spans="1:12" x14ac:dyDescent="0.25">
      <c r="A158">
        <v>8</v>
      </c>
      <c r="B158" s="1">
        <v>45354</v>
      </c>
      <c r="C158" t="s">
        <v>29</v>
      </c>
      <c r="D158">
        <v>7</v>
      </c>
      <c r="E158">
        <v>10</v>
      </c>
      <c r="F158" t="s">
        <v>51</v>
      </c>
      <c r="G158">
        <f t="shared" si="22"/>
        <v>4</v>
      </c>
      <c r="H158">
        <f t="shared" si="17"/>
        <v>0</v>
      </c>
      <c r="I158">
        <f t="shared" si="18"/>
        <v>4</v>
      </c>
      <c r="J158">
        <f t="shared" si="20"/>
        <v>0</v>
      </c>
      <c r="K158">
        <f t="shared" si="21"/>
        <v>0</v>
      </c>
      <c r="L158">
        <f t="shared" si="19"/>
        <v>-3</v>
      </c>
    </row>
    <row r="159" spans="1:12" x14ac:dyDescent="0.25">
      <c r="A159">
        <v>8</v>
      </c>
      <c r="B159" s="1">
        <v>45354</v>
      </c>
      <c r="C159" t="s">
        <v>29</v>
      </c>
      <c r="D159">
        <v>8</v>
      </c>
      <c r="E159">
        <v>8</v>
      </c>
      <c r="F159" t="s">
        <v>80</v>
      </c>
      <c r="G159">
        <f t="shared" si="22"/>
        <v>3</v>
      </c>
      <c r="H159">
        <f t="shared" si="17"/>
        <v>0</v>
      </c>
      <c r="I159">
        <f t="shared" si="18"/>
        <v>3</v>
      </c>
      <c r="J159">
        <f t="shared" si="20"/>
        <v>0</v>
      </c>
      <c r="K159">
        <f t="shared" si="21"/>
        <v>0</v>
      </c>
      <c r="L159">
        <f t="shared" si="19"/>
        <v>0</v>
      </c>
    </row>
    <row r="160" spans="1:12" x14ac:dyDescent="0.25">
      <c r="A160">
        <v>8</v>
      </c>
      <c r="B160" s="1">
        <v>45354</v>
      </c>
      <c r="C160" t="s">
        <v>29</v>
      </c>
      <c r="D160">
        <v>9</v>
      </c>
      <c r="E160">
        <v>5</v>
      </c>
      <c r="F160" t="s">
        <v>74</v>
      </c>
      <c r="G160">
        <f t="shared" si="22"/>
        <v>2</v>
      </c>
      <c r="H160">
        <f t="shared" si="17"/>
        <v>0</v>
      </c>
      <c r="I160">
        <f t="shared" si="18"/>
        <v>2</v>
      </c>
      <c r="J160">
        <f t="shared" si="20"/>
        <v>0</v>
      </c>
      <c r="K160">
        <f t="shared" si="21"/>
        <v>0</v>
      </c>
      <c r="L160">
        <f t="shared" si="19"/>
        <v>4</v>
      </c>
    </row>
    <row r="161" spans="1:12" x14ac:dyDescent="0.25">
      <c r="A161">
        <v>8</v>
      </c>
      <c r="B161" s="1">
        <v>45354</v>
      </c>
      <c r="C161" t="s">
        <v>29</v>
      </c>
      <c r="D161">
        <v>10</v>
      </c>
      <c r="E161">
        <v>4</v>
      </c>
      <c r="F161" t="s">
        <v>75</v>
      </c>
      <c r="G161">
        <f t="shared" si="22"/>
        <v>1</v>
      </c>
      <c r="H161">
        <f t="shared" si="17"/>
        <v>0</v>
      </c>
      <c r="I161">
        <f t="shared" si="18"/>
        <v>1</v>
      </c>
      <c r="J161">
        <f t="shared" si="20"/>
        <v>0</v>
      </c>
      <c r="K161">
        <f t="shared" si="21"/>
        <v>0</v>
      </c>
      <c r="L161">
        <f t="shared" si="19"/>
        <v>6</v>
      </c>
    </row>
    <row r="162" spans="1:12" x14ac:dyDescent="0.25">
      <c r="A162">
        <v>9</v>
      </c>
      <c r="B162" s="1">
        <v>45361</v>
      </c>
      <c r="C162" t="s">
        <v>4</v>
      </c>
      <c r="D162">
        <v>1</v>
      </c>
      <c r="E162">
        <v>1</v>
      </c>
      <c r="F162" t="s">
        <v>55</v>
      </c>
      <c r="G162">
        <f t="shared" ref="G162:G181" si="23">11-D162</f>
        <v>10</v>
      </c>
      <c r="H162">
        <f t="shared" si="17"/>
        <v>9</v>
      </c>
      <c r="I162">
        <f t="shared" si="18"/>
        <v>19</v>
      </c>
      <c r="J162">
        <f t="shared" si="20"/>
        <v>1</v>
      </c>
      <c r="K162">
        <f t="shared" si="21"/>
        <v>1</v>
      </c>
      <c r="L162">
        <f t="shared" si="19"/>
        <v>0</v>
      </c>
    </row>
    <row r="163" spans="1:12" x14ac:dyDescent="0.25">
      <c r="A163">
        <v>9</v>
      </c>
      <c r="B163" s="1">
        <v>45361</v>
      </c>
      <c r="C163" t="s">
        <v>4</v>
      </c>
      <c r="D163">
        <v>2</v>
      </c>
      <c r="E163">
        <v>2</v>
      </c>
      <c r="F163" t="s">
        <v>26</v>
      </c>
      <c r="G163">
        <f t="shared" si="23"/>
        <v>9</v>
      </c>
      <c r="H163">
        <f t="shared" si="17"/>
        <v>7</v>
      </c>
      <c r="I163">
        <f t="shared" si="18"/>
        <v>16</v>
      </c>
      <c r="J163">
        <f t="shared" si="20"/>
        <v>0</v>
      </c>
      <c r="K163">
        <f t="shared" si="21"/>
        <v>1</v>
      </c>
      <c r="L163">
        <f t="shared" si="19"/>
        <v>0</v>
      </c>
    </row>
    <row r="164" spans="1:12" x14ac:dyDescent="0.25">
      <c r="A164">
        <v>9</v>
      </c>
      <c r="B164" s="1">
        <v>45361</v>
      </c>
      <c r="C164" t="s">
        <v>4</v>
      </c>
      <c r="D164">
        <v>3</v>
      </c>
      <c r="E164">
        <v>4</v>
      </c>
      <c r="F164" t="s">
        <v>54</v>
      </c>
      <c r="G164">
        <f t="shared" si="23"/>
        <v>8</v>
      </c>
      <c r="H164">
        <f t="shared" si="17"/>
        <v>5</v>
      </c>
      <c r="I164">
        <f t="shared" si="18"/>
        <v>13</v>
      </c>
      <c r="J164">
        <f t="shared" si="20"/>
        <v>0</v>
      </c>
      <c r="K164">
        <f t="shared" si="21"/>
        <v>1</v>
      </c>
      <c r="L164">
        <f t="shared" si="19"/>
        <v>-1</v>
      </c>
    </row>
    <row r="165" spans="1:12" x14ac:dyDescent="0.25">
      <c r="A165">
        <v>9</v>
      </c>
      <c r="B165" s="1">
        <v>45361</v>
      </c>
      <c r="C165" t="s">
        <v>4</v>
      </c>
      <c r="D165">
        <v>4</v>
      </c>
      <c r="E165">
        <v>3</v>
      </c>
      <c r="F165" t="s">
        <v>56</v>
      </c>
      <c r="G165">
        <f t="shared" si="23"/>
        <v>7</v>
      </c>
      <c r="H165">
        <f t="shared" si="17"/>
        <v>3</v>
      </c>
      <c r="I165">
        <f t="shared" si="18"/>
        <v>10</v>
      </c>
      <c r="J165">
        <f t="shared" si="20"/>
        <v>0</v>
      </c>
      <c r="K165">
        <f t="shared" si="21"/>
        <v>0</v>
      </c>
      <c r="L165">
        <f t="shared" si="19"/>
        <v>1</v>
      </c>
    </row>
    <row r="166" spans="1:12" x14ac:dyDescent="0.25">
      <c r="A166">
        <v>9</v>
      </c>
      <c r="B166" s="1">
        <v>45361</v>
      </c>
      <c r="C166" t="s">
        <v>4</v>
      </c>
      <c r="D166">
        <v>5</v>
      </c>
      <c r="E166">
        <v>6</v>
      </c>
      <c r="F166" t="s">
        <v>20</v>
      </c>
      <c r="G166">
        <f t="shared" si="23"/>
        <v>6</v>
      </c>
      <c r="H166">
        <f t="shared" si="17"/>
        <v>1</v>
      </c>
      <c r="I166">
        <f t="shared" si="18"/>
        <v>7</v>
      </c>
      <c r="J166">
        <f t="shared" si="20"/>
        <v>0</v>
      </c>
      <c r="K166">
        <f t="shared" si="21"/>
        <v>0</v>
      </c>
      <c r="L166">
        <f t="shared" si="19"/>
        <v>-1</v>
      </c>
    </row>
    <row r="167" spans="1:12" x14ac:dyDescent="0.25">
      <c r="A167">
        <v>9</v>
      </c>
      <c r="B167" s="1">
        <v>45361</v>
      </c>
      <c r="C167" t="s">
        <v>4</v>
      </c>
      <c r="D167">
        <v>6</v>
      </c>
      <c r="E167">
        <v>5</v>
      </c>
      <c r="F167" t="s">
        <v>92</v>
      </c>
      <c r="G167">
        <f t="shared" si="23"/>
        <v>5</v>
      </c>
      <c r="H167">
        <f t="shared" si="17"/>
        <v>0</v>
      </c>
      <c r="I167">
        <f t="shared" si="18"/>
        <v>5</v>
      </c>
      <c r="J167">
        <f t="shared" si="20"/>
        <v>0</v>
      </c>
      <c r="K167">
        <f t="shared" si="21"/>
        <v>0</v>
      </c>
      <c r="L167">
        <f t="shared" si="19"/>
        <v>1</v>
      </c>
    </row>
    <row r="168" spans="1:12" x14ac:dyDescent="0.25">
      <c r="A168">
        <v>9</v>
      </c>
      <c r="B168" s="1">
        <v>45361</v>
      </c>
      <c r="C168" t="s">
        <v>4</v>
      </c>
      <c r="D168">
        <v>7</v>
      </c>
      <c r="E168">
        <v>7</v>
      </c>
      <c r="F168" t="s">
        <v>57</v>
      </c>
      <c r="G168">
        <f t="shared" si="23"/>
        <v>4</v>
      </c>
      <c r="H168">
        <f t="shared" si="17"/>
        <v>0</v>
      </c>
      <c r="I168">
        <f t="shared" si="18"/>
        <v>4</v>
      </c>
      <c r="J168">
        <f t="shared" si="20"/>
        <v>0</v>
      </c>
      <c r="K168">
        <f t="shared" si="21"/>
        <v>0</v>
      </c>
      <c r="L168">
        <f t="shared" si="19"/>
        <v>0</v>
      </c>
    </row>
    <row r="169" spans="1:12" x14ac:dyDescent="0.25">
      <c r="A169">
        <v>9</v>
      </c>
      <c r="B169" s="1">
        <v>45361</v>
      </c>
      <c r="C169" t="s">
        <v>4</v>
      </c>
      <c r="D169">
        <v>8</v>
      </c>
      <c r="E169">
        <v>9</v>
      </c>
      <c r="F169" t="s">
        <v>12</v>
      </c>
      <c r="G169">
        <f t="shared" si="23"/>
        <v>3</v>
      </c>
      <c r="H169">
        <f t="shared" si="17"/>
        <v>0</v>
      </c>
      <c r="I169">
        <f t="shared" si="18"/>
        <v>3</v>
      </c>
      <c r="J169">
        <f t="shared" si="20"/>
        <v>0</v>
      </c>
      <c r="K169">
        <f t="shared" si="21"/>
        <v>0</v>
      </c>
      <c r="L169">
        <f t="shared" si="19"/>
        <v>-1</v>
      </c>
    </row>
    <row r="170" spans="1:12" x14ac:dyDescent="0.25">
      <c r="A170">
        <v>9</v>
      </c>
      <c r="B170" s="1">
        <v>45361</v>
      </c>
      <c r="C170" t="s">
        <v>4</v>
      </c>
      <c r="D170">
        <v>9</v>
      </c>
      <c r="E170">
        <v>11</v>
      </c>
      <c r="F170" t="s">
        <v>58</v>
      </c>
      <c r="G170">
        <f t="shared" si="23"/>
        <v>2</v>
      </c>
      <c r="H170">
        <f t="shared" si="17"/>
        <v>0</v>
      </c>
      <c r="I170">
        <f t="shared" si="18"/>
        <v>2</v>
      </c>
      <c r="J170">
        <f t="shared" si="20"/>
        <v>0</v>
      </c>
      <c r="K170">
        <f t="shared" si="21"/>
        <v>0</v>
      </c>
      <c r="L170">
        <f t="shared" si="19"/>
        <v>-2</v>
      </c>
    </row>
    <row r="171" spans="1:12" x14ac:dyDescent="0.25">
      <c r="A171">
        <v>9</v>
      </c>
      <c r="B171" s="1">
        <v>45361</v>
      </c>
      <c r="C171" t="s">
        <v>4</v>
      </c>
      <c r="D171">
        <v>10</v>
      </c>
      <c r="E171">
        <v>8</v>
      </c>
      <c r="F171" t="s">
        <v>68</v>
      </c>
      <c r="G171">
        <f t="shared" si="23"/>
        <v>1</v>
      </c>
      <c r="H171">
        <f t="shared" si="17"/>
        <v>0</v>
      </c>
      <c r="I171">
        <f t="shared" si="18"/>
        <v>1</v>
      </c>
      <c r="J171">
        <f t="shared" si="20"/>
        <v>0</v>
      </c>
      <c r="K171">
        <f t="shared" si="21"/>
        <v>0</v>
      </c>
      <c r="L171">
        <f t="shared" si="19"/>
        <v>2</v>
      </c>
    </row>
    <row r="172" spans="1:12" x14ac:dyDescent="0.25">
      <c r="A172">
        <v>9</v>
      </c>
      <c r="B172" s="1">
        <v>45361</v>
      </c>
      <c r="C172" t="s">
        <v>29</v>
      </c>
      <c r="D172">
        <v>1</v>
      </c>
      <c r="E172">
        <v>1</v>
      </c>
      <c r="F172" t="s">
        <v>61</v>
      </c>
      <c r="G172">
        <f t="shared" si="23"/>
        <v>10</v>
      </c>
      <c r="H172">
        <f t="shared" si="17"/>
        <v>9</v>
      </c>
      <c r="I172">
        <f t="shared" si="18"/>
        <v>19</v>
      </c>
      <c r="J172">
        <f t="shared" si="20"/>
        <v>1</v>
      </c>
      <c r="K172">
        <f t="shared" si="21"/>
        <v>1</v>
      </c>
      <c r="L172">
        <f t="shared" si="19"/>
        <v>0</v>
      </c>
    </row>
    <row r="173" spans="1:12" x14ac:dyDescent="0.25">
      <c r="A173">
        <v>9</v>
      </c>
      <c r="B173" s="1">
        <v>45361</v>
      </c>
      <c r="C173" t="s">
        <v>29</v>
      </c>
      <c r="D173">
        <v>2</v>
      </c>
      <c r="E173">
        <v>7</v>
      </c>
      <c r="F173" t="s">
        <v>51</v>
      </c>
      <c r="G173">
        <f t="shared" si="23"/>
        <v>9</v>
      </c>
      <c r="H173">
        <f t="shared" si="17"/>
        <v>7</v>
      </c>
      <c r="I173">
        <f t="shared" si="18"/>
        <v>16</v>
      </c>
      <c r="J173">
        <f t="shared" si="20"/>
        <v>0</v>
      </c>
      <c r="K173">
        <f t="shared" si="21"/>
        <v>1</v>
      </c>
      <c r="L173">
        <f t="shared" si="19"/>
        <v>-5</v>
      </c>
    </row>
    <row r="174" spans="1:12" x14ac:dyDescent="0.25">
      <c r="A174">
        <v>9</v>
      </c>
      <c r="B174" s="1">
        <v>45361</v>
      </c>
      <c r="C174" t="s">
        <v>29</v>
      </c>
      <c r="D174">
        <v>3</v>
      </c>
      <c r="E174">
        <v>4</v>
      </c>
      <c r="F174" t="s">
        <v>60</v>
      </c>
      <c r="G174">
        <f t="shared" si="23"/>
        <v>8</v>
      </c>
      <c r="H174">
        <f t="shared" si="17"/>
        <v>5</v>
      </c>
      <c r="I174">
        <f t="shared" si="18"/>
        <v>13</v>
      </c>
      <c r="J174">
        <f t="shared" si="20"/>
        <v>0</v>
      </c>
      <c r="K174">
        <f t="shared" si="21"/>
        <v>1</v>
      </c>
      <c r="L174">
        <f t="shared" si="19"/>
        <v>-1</v>
      </c>
    </row>
    <row r="175" spans="1:12" x14ac:dyDescent="0.25">
      <c r="A175">
        <v>9</v>
      </c>
      <c r="B175" s="1">
        <v>45361</v>
      </c>
      <c r="C175" t="s">
        <v>29</v>
      </c>
      <c r="D175">
        <v>4</v>
      </c>
      <c r="E175">
        <v>3</v>
      </c>
      <c r="F175" t="s">
        <v>66</v>
      </c>
      <c r="G175">
        <f t="shared" si="23"/>
        <v>7</v>
      </c>
      <c r="H175">
        <f t="shared" si="17"/>
        <v>3</v>
      </c>
      <c r="I175">
        <f t="shared" si="18"/>
        <v>10</v>
      </c>
      <c r="J175">
        <f t="shared" si="20"/>
        <v>0</v>
      </c>
      <c r="K175">
        <f t="shared" si="21"/>
        <v>0</v>
      </c>
      <c r="L175">
        <f t="shared" si="19"/>
        <v>1</v>
      </c>
    </row>
    <row r="176" spans="1:12" x14ac:dyDescent="0.25">
      <c r="A176">
        <v>9</v>
      </c>
      <c r="B176" s="1">
        <v>45361</v>
      </c>
      <c r="C176" t="s">
        <v>29</v>
      </c>
      <c r="D176">
        <v>5</v>
      </c>
      <c r="E176">
        <v>5</v>
      </c>
      <c r="F176" t="s">
        <v>62</v>
      </c>
      <c r="G176">
        <f t="shared" si="23"/>
        <v>6</v>
      </c>
      <c r="H176">
        <f t="shared" si="17"/>
        <v>1</v>
      </c>
      <c r="I176">
        <f t="shared" si="18"/>
        <v>7</v>
      </c>
      <c r="J176">
        <f t="shared" si="20"/>
        <v>0</v>
      </c>
      <c r="K176">
        <f t="shared" si="21"/>
        <v>0</v>
      </c>
      <c r="L176">
        <f t="shared" si="19"/>
        <v>0</v>
      </c>
    </row>
    <row r="177" spans="1:12" x14ac:dyDescent="0.25">
      <c r="A177">
        <v>9</v>
      </c>
      <c r="B177" s="1">
        <v>45361</v>
      </c>
      <c r="C177" t="s">
        <v>29</v>
      </c>
      <c r="D177">
        <v>6</v>
      </c>
      <c r="E177">
        <v>2</v>
      </c>
      <c r="F177" t="s">
        <v>76</v>
      </c>
      <c r="G177">
        <f t="shared" si="23"/>
        <v>5</v>
      </c>
      <c r="H177">
        <f t="shared" si="17"/>
        <v>0</v>
      </c>
      <c r="I177">
        <f t="shared" si="18"/>
        <v>5</v>
      </c>
      <c r="J177">
        <f t="shared" si="20"/>
        <v>0</v>
      </c>
      <c r="K177">
        <f t="shared" si="21"/>
        <v>0</v>
      </c>
      <c r="L177">
        <f t="shared" si="19"/>
        <v>4</v>
      </c>
    </row>
    <row r="178" spans="1:12" x14ac:dyDescent="0.25">
      <c r="A178">
        <v>9</v>
      </c>
      <c r="B178" s="1">
        <v>45361</v>
      </c>
      <c r="C178" t="s">
        <v>29</v>
      </c>
      <c r="D178">
        <v>7</v>
      </c>
      <c r="E178">
        <v>11</v>
      </c>
      <c r="F178" t="s">
        <v>63</v>
      </c>
      <c r="G178">
        <f t="shared" si="23"/>
        <v>4</v>
      </c>
      <c r="H178">
        <f t="shared" si="17"/>
        <v>0</v>
      </c>
      <c r="I178">
        <f t="shared" si="18"/>
        <v>4</v>
      </c>
      <c r="J178">
        <f t="shared" si="20"/>
        <v>0</v>
      </c>
      <c r="K178">
        <f t="shared" si="21"/>
        <v>0</v>
      </c>
      <c r="L178">
        <f t="shared" si="19"/>
        <v>-4</v>
      </c>
    </row>
    <row r="179" spans="1:12" x14ac:dyDescent="0.25">
      <c r="A179">
        <v>9</v>
      </c>
      <c r="B179" s="1">
        <v>45361</v>
      </c>
      <c r="C179" t="s">
        <v>29</v>
      </c>
      <c r="D179">
        <v>8</v>
      </c>
      <c r="E179">
        <v>6</v>
      </c>
      <c r="F179" t="s">
        <v>67</v>
      </c>
      <c r="G179">
        <f t="shared" si="23"/>
        <v>3</v>
      </c>
      <c r="H179">
        <f t="shared" si="17"/>
        <v>0</v>
      </c>
      <c r="I179">
        <f t="shared" si="18"/>
        <v>3</v>
      </c>
      <c r="J179">
        <f t="shared" si="20"/>
        <v>0</v>
      </c>
      <c r="K179">
        <f t="shared" si="21"/>
        <v>0</v>
      </c>
      <c r="L179">
        <f t="shared" si="19"/>
        <v>2</v>
      </c>
    </row>
    <row r="180" spans="1:12" x14ac:dyDescent="0.25">
      <c r="A180">
        <v>9</v>
      </c>
      <c r="B180" s="1">
        <v>45361</v>
      </c>
      <c r="C180" t="s">
        <v>29</v>
      </c>
      <c r="D180">
        <v>9</v>
      </c>
      <c r="E180">
        <v>8</v>
      </c>
      <c r="F180" t="s">
        <v>80</v>
      </c>
      <c r="G180">
        <f t="shared" si="23"/>
        <v>2</v>
      </c>
      <c r="H180">
        <f t="shared" si="17"/>
        <v>0</v>
      </c>
      <c r="I180">
        <f t="shared" si="18"/>
        <v>2</v>
      </c>
      <c r="J180">
        <f t="shared" si="20"/>
        <v>0</v>
      </c>
      <c r="K180">
        <f t="shared" si="21"/>
        <v>0</v>
      </c>
      <c r="L180">
        <f t="shared" si="19"/>
        <v>1</v>
      </c>
    </row>
    <row r="181" spans="1:12" x14ac:dyDescent="0.25">
      <c r="A181">
        <v>9</v>
      </c>
      <c r="B181" s="1">
        <v>45361</v>
      </c>
      <c r="C181" t="s">
        <v>29</v>
      </c>
      <c r="D181">
        <v>10</v>
      </c>
      <c r="E181">
        <v>9</v>
      </c>
      <c r="F181" t="s">
        <v>74</v>
      </c>
      <c r="G181">
        <f t="shared" si="23"/>
        <v>1</v>
      </c>
      <c r="H181">
        <f t="shared" si="17"/>
        <v>0</v>
      </c>
      <c r="I181">
        <f t="shared" si="18"/>
        <v>1</v>
      </c>
      <c r="J181">
        <f t="shared" si="20"/>
        <v>0</v>
      </c>
      <c r="K181">
        <f t="shared" si="21"/>
        <v>0</v>
      </c>
      <c r="L181">
        <f t="shared" si="19"/>
        <v>1</v>
      </c>
    </row>
    <row r="182" spans="1:12" x14ac:dyDescent="0.25">
      <c r="A182">
        <v>10</v>
      </c>
      <c r="B182" s="1">
        <v>45368</v>
      </c>
      <c r="C182" t="s">
        <v>4</v>
      </c>
      <c r="D182">
        <v>1</v>
      </c>
      <c r="E182">
        <v>2</v>
      </c>
      <c r="F182" t="s">
        <v>26</v>
      </c>
      <c r="G182">
        <f t="shared" ref="G182:G201" si="24">11-D182</f>
        <v>10</v>
      </c>
      <c r="H182">
        <f t="shared" si="17"/>
        <v>9</v>
      </c>
      <c r="I182">
        <f t="shared" si="18"/>
        <v>19</v>
      </c>
      <c r="J182">
        <f t="shared" si="20"/>
        <v>1</v>
      </c>
      <c r="K182">
        <f t="shared" si="21"/>
        <v>1</v>
      </c>
      <c r="L182">
        <f t="shared" si="19"/>
        <v>-1</v>
      </c>
    </row>
    <row r="183" spans="1:12" x14ac:dyDescent="0.25">
      <c r="A183">
        <v>10</v>
      </c>
      <c r="B183" s="1">
        <v>45368</v>
      </c>
      <c r="C183" t="s">
        <v>4</v>
      </c>
      <c r="D183">
        <v>2</v>
      </c>
      <c r="E183">
        <v>3</v>
      </c>
      <c r="F183" t="s">
        <v>54</v>
      </c>
      <c r="G183">
        <f t="shared" si="24"/>
        <v>9</v>
      </c>
      <c r="H183">
        <f t="shared" si="17"/>
        <v>7</v>
      </c>
      <c r="I183">
        <f t="shared" si="18"/>
        <v>16</v>
      </c>
      <c r="J183">
        <f t="shared" si="20"/>
        <v>0</v>
      </c>
      <c r="K183">
        <f t="shared" si="21"/>
        <v>1</v>
      </c>
      <c r="L183">
        <f t="shared" si="19"/>
        <v>-1</v>
      </c>
    </row>
    <row r="184" spans="1:12" x14ac:dyDescent="0.25">
      <c r="A184">
        <v>10</v>
      </c>
      <c r="B184" s="1">
        <v>45368</v>
      </c>
      <c r="C184" t="s">
        <v>4</v>
      </c>
      <c r="D184">
        <v>3</v>
      </c>
      <c r="E184">
        <v>1</v>
      </c>
      <c r="F184" t="s">
        <v>55</v>
      </c>
      <c r="G184">
        <f t="shared" si="24"/>
        <v>8</v>
      </c>
      <c r="H184">
        <f t="shared" si="17"/>
        <v>5</v>
      </c>
      <c r="I184">
        <f t="shared" si="18"/>
        <v>13</v>
      </c>
      <c r="J184">
        <f t="shared" si="20"/>
        <v>0</v>
      </c>
      <c r="K184">
        <f t="shared" si="21"/>
        <v>1</v>
      </c>
      <c r="L184">
        <f t="shared" si="19"/>
        <v>2</v>
      </c>
    </row>
    <row r="185" spans="1:12" x14ac:dyDescent="0.25">
      <c r="A185">
        <v>10</v>
      </c>
      <c r="B185" s="1">
        <v>45368</v>
      </c>
      <c r="C185" t="s">
        <v>4</v>
      </c>
      <c r="D185">
        <v>4</v>
      </c>
      <c r="E185">
        <v>5</v>
      </c>
      <c r="F185" t="s">
        <v>20</v>
      </c>
      <c r="G185">
        <f t="shared" si="24"/>
        <v>7</v>
      </c>
      <c r="H185">
        <f t="shared" si="17"/>
        <v>3</v>
      </c>
      <c r="I185">
        <f t="shared" si="18"/>
        <v>10</v>
      </c>
      <c r="J185">
        <f t="shared" si="20"/>
        <v>0</v>
      </c>
      <c r="K185">
        <f t="shared" si="21"/>
        <v>0</v>
      </c>
      <c r="L185">
        <f t="shared" si="19"/>
        <v>-1</v>
      </c>
    </row>
    <row r="186" spans="1:12" x14ac:dyDescent="0.25">
      <c r="A186">
        <v>10</v>
      </c>
      <c r="B186" s="1">
        <v>45368</v>
      </c>
      <c r="C186" t="s">
        <v>4</v>
      </c>
      <c r="D186">
        <v>5</v>
      </c>
      <c r="E186">
        <v>6</v>
      </c>
      <c r="F186" t="s">
        <v>92</v>
      </c>
      <c r="G186">
        <f t="shared" si="24"/>
        <v>6</v>
      </c>
      <c r="H186">
        <f t="shared" si="17"/>
        <v>1</v>
      </c>
      <c r="I186">
        <f t="shared" si="18"/>
        <v>7</v>
      </c>
      <c r="J186">
        <f t="shared" si="20"/>
        <v>0</v>
      </c>
      <c r="K186">
        <f t="shared" si="21"/>
        <v>0</v>
      </c>
      <c r="L186">
        <f t="shared" si="19"/>
        <v>-1</v>
      </c>
    </row>
    <row r="187" spans="1:12" x14ac:dyDescent="0.25">
      <c r="A187">
        <v>10</v>
      </c>
      <c r="B187" s="1">
        <v>45368</v>
      </c>
      <c r="C187" t="s">
        <v>4</v>
      </c>
      <c r="D187">
        <v>6</v>
      </c>
      <c r="E187">
        <v>4</v>
      </c>
      <c r="F187" t="s">
        <v>56</v>
      </c>
      <c r="G187">
        <f t="shared" si="24"/>
        <v>5</v>
      </c>
      <c r="H187">
        <f t="shared" si="17"/>
        <v>0</v>
      </c>
      <c r="I187">
        <f t="shared" si="18"/>
        <v>5</v>
      </c>
      <c r="J187">
        <f t="shared" si="20"/>
        <v>0</v>
      </c>
      <c r="K187">
        <f t="shared" si="21"/>
        <v>0</v>
      </c>
      <c r="L187">
        <f t="shared" si="19"/>
        <v>2</v>
      </c>
    </row>
    <row r="188" spans="1:12" x14ac:dyDescent="0.25">
      <c r="A188">
        <v>10</v>
      </c>
      <c r="B188" s="1">
        <v>45368</v>
      </c>
      <c r="C188" t="s">
        <v>4</v>
      </c>
      <c r="D188">
        <v>7</v>
      </c>
      <c r="E188">
        <v>7</v>
      </c>
      <c r="F188" t="s">
        <v>57</v>
      </c>
      <c r="G188">
        <f t="shared" si="24"/>
        <v>4</v>
      </c>
      <c r="H188">
        <f t="shared" si="17"/>
        <v>0</v>
      </c>
      <c r="I188">
        <f t="shared" si="18"/>
        <v>4</v>
      </c>
      <c r="J188">
        <f t="shared" si="20"/>
        <v>0</v>
      </c>
      <c r="K188">
        <f t="shared" si="21"/>
        <v>0</v>
      </c>
      <c r="L188">
        <f t="shared" si="19"/>
        <v>0</v>
      </c>
    </row>
    <row r="189" spans="1:12" x14ac:dyDescent="0.25">
      <c r="A189">
        <v>10</v>
      </c>
      <c r="B189" s="1">
        <v>45368</v>
      </c>
      <c r="C189" t="s">
        <v>4</v>
      </c>
      <c r="D189">
        <v>8</v>
      </c>
      <c r="E189">
        <v>8</v>
      </c>
      <c r="F189" t="s">
        <v>12</v>
      </c>
      <c r="G189">
        <f t="shared" si="24"/>
        <v>3</v>
      </c>
      <c r="H189">
        <f t="shared" si="17"/>
        <v>0</v>
      </c>
      <c r="I189">
        <f t="shared" si="18"/>
        <v>3</v>
      </c>
      <c r="J189">
        <f t="shared" si="20"/>
        <v>0</v>
      </c>
      <c r="K189">
        <f t="shared" si="21"/>
        <v>0</v>
      </c>
      <c r="L189">
        <f t="shared" si="19"/>
        <v>0</v>
      </c>
    </row>
    <row r="190" spans="1:12" x14ac:dyDescent="0.25">
      <c r="A190">
        <v>10</v>
      </c>
      <c r="B190" s="1">
        <v>45368</v>
      </c>
      <c r="C190" t="s">
        <v>4</v>
      </c>
      <c r="D190">
        <v>9</v>
      </c>
      <c r="E190">
        <v>9</v>
      </c>
      <c r="F190" t="s">
        <v>58</v>
      </c>
      <c r="G190">
        <f t="shared" si="24"/>
        <v>2</v>
      </c>
      <c r="H190">
        <f t="shared" si="17"/>
        <v>0</v>
      </c>
      <c r="I190">
        <f t="shared" si="18"/>
        <v>2</v>
      </c>
      <c r="J190">
        <f t="shared" si="20"/>
        <v>0</v>
      </c>
      <c r="K190">
        <f t="shared" si="21"/>
        <v>0</v>
      </c>
      <c r="L190">
        <f t="shared" si="19"/>
        <v>0</v>
      </c>
    </row>
    <row r="191" spans="1:12" x14ac:dyDescent="0.25">
      <c r="A191">
        <v>10</v>
      </c>
      <c r="B191" s="1">
        <v>45368</v>
      </c>
      <c r="C191" t="s">
        <v>4</v>
      </c>
      <c r="D191">
        <v>10</v>
      </c>
      <c r="E191">
        <v>11</v>
      </c>
      <c r="F191" t="s">
        <v>94</v>
      </c>
      <c r="G191">
        <f t="shared" si="24"/>
        <v>1</v>
      </c>
      <c r="H191">
        <f t="shared" si="17"/>
        <v>0</v>
      </c>
      <c r="I191">
        <f t="shared" si="18"/>
        <v>1</v>
      </c>
      <c r="J191">
        <f t="shared" si="20"/>
        <v>0</v>
      </c>
      <c r="K191">
        <f t="shared" si="21"/>
        <v>0</v>
      </c>
      <c r="L191">
        <f t="shared" si="19"/>
        <v>-1</v>
      </c>
    </row>
    <row r="192" spans="1:12" x14ac:dyDescent="0.25">
      <c r="A192">
        <v>10</v>
      </c>
      <c r="B192" s="1">
        <v>45368</v>
      </c>
      <c r="C192" t="s">
        <v>29</v>
      </c>
      <c r="D192">
        <v>1</v>
      </c>
      <c r="E192">
        <v>2</v>
      </c>
      <c r="F192" t="s">
        <v>51</v>
      </c>
      <c r="G192">
        <f t="shared" si="24"/>
        <v>10</v>
      </c>
      <c r="H192">
        <f t="shared" si="17"/>
        <v>9</v>
      </c>
      <c r="I192">
        <f t="shared" si="18"/>
        <v>19</v>
      </c>
      <c r="J192">
        <f t="shared" si="20"/>
        <v>1</v>
      </c>
      <c r="K192">
        <f t="shared" si="21"/>
        <v>1</v>
      </c>
      <c r="L192">
        <f t="shared" si="19"/>
        <v>-1</v>
      </c>
    </row>
    <row r="193" spans="1:12" x14ac:dyDescent="0.25">
      <c r="A193">
        <v>10</v>
      </c>
      <c r="B193" s="1">
        <v>45368</v>
      </c>
      <c r="C193" t="s">
        <v>29</v>
      </c>
      <c r="D193">
        <v>2</v>
      </c>
      <c r="E193">
        <v>3</v>
      </c>
      <c r="F193" t="s">
        <v>60</v>
      </c>
      <c r="G193">
        <f t="shared" si="24"/>
        <v>9</v>
      </c>
      <c r="H193">
        <f t="shared" si="17"/>
        <v>7</v>
      </c>
      <c r="I193">
        <f t="shared" si="18"/>
        <v>16</v>
      </c>
      <c r="J193">
        <f t="shared" si="20"/>
        <v>0</v>
      </c>
      <c r="K193">
        <f t="shared" si="21"/>
        <v>1</v>
      </c>
      <c r="L193">
        <f t="shared" si="19"/>
        <v>-1</v>
      </c>
    </row>
    <row r="194" spans="1:12" x14ac:dyDescent="0.25">
      <c r="A194">
        <v>10</v>
      </c>
      <c r="B194" s="1">
        <v>45368</v>
      </c>
      <c r="C194" t="s">
        <v>29</v>
      </c>
      <c r="D194">
        <v>3</v>
      </c>
      <c r="E194">
        <v>1</v>
      </c>
      <c r="F194" t="s">
        <v>61</v>
      </c>
      <c r="G194">
        <f t="shared" si="24"/>
        <v>8</v>
      </c>
      <c r="H194">
        <f t="shared" si="17"/>
        <v>5</v>
      </c>
      <c r="I194">
        <f t="shared" si="18"/>
        <v>13</v>
      </c>
      <c r="J194">
        <f t="shared" si="20"/>
        <v>0</v>
      </c>
      <c r="K194">
        <f t="shared" si="21"/>
        <v>1</v>
      </c>
      <c r="L194">
        <f t="shared" si="19"/>
        <v>2</v>
      </c>
    </row>
    <row r="195" spans="1:12" x14ac:dyDescent="0.25">
      <c r="A195">
        <v>10</v>
      </c>
      <c r="B195" s="1">
        <v>45368</v>
      </c>
      <c r="C195" t="s">
        <v>29</v>
      </c>
      <c r="D195">
        <v>4</v>
      </c>
      <c r="E195">
        <v>5</v>
      </c>
      <c r="F195" t="s">
        <v>62</v>
      </c>
      <c r="G195">
        <f t="shared" si="24"/>
        <v>7</v>
      </c>
      <c r="H195">
        <f t="shared" ref="H195:H258" si="25">IF(D195&lt;6,11-2*D195,0)</f>
        <v>3</v>
      </c>
      <c r="I195">
        <f t="shared" ref="I195:I258" si="26">G195+H195</f>
        <v>10</v>
      </c>
      <c r="J195">
        <f t="shared" si="20"/>
        <v>0</v>
      </c>
      <c r="K195">
        <f t="shared" si="21"/>
        <v>0</v>
      </c>
      <c r="L195">
        <f t="shared" ref="L195:L258" si="27">D195-E195</f>
        <v>-1</v>
      </c>
    </row>
    <row r="196" spans="1:12" x14ac:dyDescent="0.25">
      <c r="A196">
        <v>10</v>
      </c>
      <c r="B196" s="1">
        <v>45368</v>
      </c>
      <c r="C196" t="s">
        <v>29</v>
      </c>
      <c r="D196">
        <v>5</v>
      </c>
      <c r="E196">
        <v>7</v>
      </c>
      <c r="F196" t="s">
        <v>63</v>
      </c>
      <c r="G196">
        <f t="shared" si="24"/>
        <v>6</v>
      </c>
      <c r="H196">
        <f t="shared" si="25"/>
        <v>1</v>
      </c>
      <c r="I196">
        <f t="shared" si="26"/>
        <v>7</v>
      </c>
      <c r="J196">
        <f t="shared" si="20"/>
        <v>0</v>
      </c>
      <c r="K196">
        <f t="shared" si="21"/>
        <v>0</v>
      </c>
      <c r="L196">
        <f t="shared" si="27"/>
        <v>-2</v>
      </c>
    </row>
    <row r="197" spans="1:12" x14ac:dyDescent="0.25">
      <c r="A197">
        <v>10</v>
      </c>
      <c r="B197" s="1">
        <v>45368</v>
      </c>
      <c r="C197" t="s">
        <v>29</v>
      </c>
      <c r="D197">
        <v>6</v>
      </c>
      <c r="E197">
        <v>6</v>
      </c>
      <c r="F197" t="s">
        <v>76</v>
      </c>
      <c r="G197">
        <f t="shared" si="24"/>
        <v>5</v>
      </c>
      <c r="H197">
        <f t="shared" si="25"/>
        <v>0</v>
      </c>
      <c r="I197">
        <f t="shared" si="26"/>
        <v>5</v>
      </c>
      <c r="J197">
        <f t="shared" si="20"/>
        <v>0</v>
      </c>
      <c r="K197">
        <f t="shared" si="21"/>
        <v>0</v>
      </c>
      <c r="L197">
        <f t="shared" si="27"/>
        <v>0</v>
      </c>
    </row>
    <row r="198" spans="1:12" x14ac:dyDescent="0.25">
      <c r="A198">
        <v>10</v>
      </c>
      <c r="B198" s="1">
        <v>45368</v>
      </c>
      <c r="C198" t="s">
        <v>29</v>
      </c>
      <c r="D198">
        <v>7</v>
      </c>
      <c r="E198">
        <v>4</v>
      </c>
      <c r="F198" t="s">
        <v>66</v>
      </c>
      <c r="G198">
        <f t="shared" si="24"/>
        <v>4</v>
      </c>
      <c r="H198">
        <f t="shared" si="25"/>
        <v>0</v>
      </c>
      <c r="I198">
        <f t="shared" si="26"/>
        <v>4</v>
      </c>
      <c r="J198">
        <f t="shared" si="20"/>
        <v>0</v>
      </c>
      <c r="K198">
        <f t="shared" si="21"/>
        <v>0</v>
      </c>
      <c r="L198">
        <f t="shared" si="27"/>
        <v>3</v>
      </c>
    </row>
    <row r="199" spans="1:12" x14ac:dyDescent="0.25">
      <c r="A199">
        <v>10</v>
      </c>
      <c r="B199" s="1">
        <v>45368</v>
      </c>
      <c r="C199" t="s">
        <v>29</v>
      </c>
      <c r="D199">
        <v>8</v>
      </c>
      <c r="E199">
        <v>8</v>
      </c>
      <c r="F199" t="s">
        <v>67</v>
      </c>
      <c r="G199">
        <f t="shared" si="24"/>
        <v>3</v>
      </c>
      <c r="H199">
        <f t="shared" si="25"/>
        <v>0</v>
      </c>
      <c r="I199">
        <f t="shared" si="26"/>
        <v>3</v>
      </c>
      <c r="J199">
        <f t="shared" si="20"/>
        <v>0</v>
      </c>
      <c r="K199">
        <f t="shared" si="21"/>
        <v>0</v>
      </c>
      <c r="L199">
        <f t="shared" si="27"/>
        <v>0</v>
      </c>
    </row>
    <row r="200" spans="1:12" x14ac:dyDescent="0.25">
      <c r="A200">
        <v>10</v>
      </c>
      <c r="B200" s="1">
        <v>45368</v>
      </c>
      <c r="C200" t="s">
        <v>29</v>
      </c>
      <c r="D200">
        <v>9</v>
      </c>
      <c r="E200">
        <v>9</v>
      </c>
      <c r="F200" t="s">
        <v>80</v>
      </c>
      <c r="G200">
        <f t="shared" si="24"/>
        <v>2</v>
      </c>
      <c r="H200">
        <f t="shared" si="25"/>
        <v>0</v>
      </c>
      <c r="I200">
        <f t="shared" si="26"/>
        <v>2</v>
      </c>
      <c r="J200">
        <f t="shared" si="20"/>
        <v>0</v>
      </c>
      <c r="K200">
        <f t="shared" si="21"/>
        <v>0</v>
      </c>
      <c r="L200">
        <f t="shared" si="27"/>
        <v>0</v>
      </c>
    </row>
    <row r="201" spans="1:12" x14ac:dyDescent="0.25">
      <c r="A201">
        <v>10</v>
      </c>
      <c r="B201" s="1">
        <v>45368</v>
      </c>
      <c r="C201" t="s">
        <v>29</v>
      </c>
      <c r="D201">
        <v>10</v>
      </c>
      <c r="E201">
        <v>10</v>
      </c>
      <c r="F201" t="s">
        <v>74</v>
      </c>
      <c r="G201">
        <f t="shared" si="24"/>
        <v>1</v>
      </c>
      <c r="H201">
        <f t="shared" si="25"/>
        <v>0</v>
      </c>
      <c r="I201">
        <f t="shared" si="26"/>
        <v>1</v>
      </c>
      <c r="J201">
        <f t="shared" si="20"/>
        <v>0</v>
      </c>
      <c r="K201">
        <f t="shared" si="21"/>
        <v>0</v>
      </c>
      <c r="L201">
        <f t="shared" si="27"/>
        <v>0</v>
      </c>
    </row>
    <row r="202" spans="1:12" x14ac:dyDescent="0.25">
      <c r="A202">
        <v>11</v>
      </c>
      <c r="B202" s="1">
        <v>45375</v>
      </c>
      <c r="C202" t="s">
        <v>4</v>
      </c>
      <c r="D202">
        <v>1</v>
      </c>
      <c r="E202">
        <v>1</v>
      </c>
      <c r="F202" t="s">
        <v>26</v>
      </c>
      <c r="G202">
        <f t="shared" si="14"/>
        <v>10</v>
      </c>
      <c r="H202">
        <f t="shared" si="25"/>
        <v>9</v>
      </c>
      <c r="I202">
        <f t="shared" si="26"/>
        <v>19</v>
      </c>
      <c r="J202">
        <f t="shared" si="20"/>
        <v>1</v>
      </c>
      <c r="K202">
        <f t="shared" si="21"/>
        <v>1</v>
      </c>
      <c r="L202">
        <f t="shared" si="27"/>
        <v>0</v>
      </c>
    </row>
    <row r="203" spans="1:12" x14ac:dyDescent="0.25">
      <c r="A203">
        <v>11</v>
      </c>
      <c r="B203" s="1">
        <v>45375</v>
      </c>
      <c r="C203" t="s">
        <v>4</v>
      </c>
      <c r="D203">
        <v>2</v>
      </c>
      <c r="E203">
        <v>2</v>
      </c>
      <c r="F203" t="s">
        <v>54</v>
      </c>
      <c r="G203">
        <f t="shared" si="14"/>
        <v>9</v>
      </c>
      <c r="H203">
        <f t="shared" si="25"/>
        <v>7</v>
      </c>
      <c r="I203">
        <f t="shared" si="26"/>
        <v>16</v>
      </c>
      <c r="J203">
        <f t="shared" si="20"/>
        <v>0</v>
      </c>
      <c r="K203">
        <f t="shared" si="21"/>
        <v>1</v>
      </c>
      <c r="L203">
        <f t="shared" si="27"/>
        <v>0</v>
      </c>
    </row>
    <row r="204" spans="1:12" x14ac:dyDescent="0.25">
      <c r="A204">
        <v>11</v>
      </c>
      <c r="B204" s="1">
        <v>45375</v>
      </c>
      <c r="C204" t="s">
        <v>4</v>
      </c>
      <c r="D204">
        <v>3</v>
      </c>
      <c r="E204">
        <v>3</v>
      </c>
      <c r="F204" t="s">
        <v>55</v>
      </c>
      <c r="G204">
        <f t="shared" si="14"/>
        <v>8</v>
      </c>
      <c r="H204">
        <f t="shared" si="25"/>
        <v>5</v>
      </c>
      <c r="I204">
        <f t="shared" si="26"/>
        <v>13</v>
      </c>
      <c r="J204">
        <f t="shared" si="20"/>
        <v>0</v>
      </c>
      <c r="K204">
        <f t="shared" si="21"/>
        <v>1</v>
      </c>
      <c r="L204">
        <f t="shared" si="27"/>
        <v>0</v>
      </c>
    </row>
    <row r="205" spans="1:12" x14ac:dyDescent="0.25">
      <c r="A205">
        <v>11</v>
      </c>
      <c r="B205" s="1">
        <v>45375</v>
      </c>
      <c r="C205" t="s">
        <v>4</v>
      </c>
      <c r="D205">
        <v>4</v>
      </c>
      <c r="E205">
        <v>4</v>
      </c>
      <c r="F205" t="s">
        <v>20</v>
      </c>
      <c r="G205">
        <f t="shared" si="14"/>
        <v>7</v>
      </c>
      <c r="H205">
        <f t="shared" si="25"/>
        <v>3</v>
      </c>
      <c r="I205">
        <f t="shared" si="26"/>
        <v>10</v>
      </c>
      <c r="J205">
        <f t="shared" ref="J205:J268" si="28">COUNTIF(D205,"=1")</f>
        <v>0</v>
      </c>
      <c r="K205">
        <f t="shared" ref="K205:K268" si="29">COUNTIF(D205,"&lt;4")</f>
        <v>0</v>
      </c>
      <c r="L205">
        <f t="shared" si="27"/>
        <v>0</v>
      </c>
    </row>
    <row r="206" spans="1:12" x14ac:dyDescent="0.25">
      <c r="A206">
        <v>11</v>
      </c>
      <c r="B206" s="1">
        <v>45375</v>
      </c>
      <c r="C206" t="s">
        <v>4</v>
      </c>
      <c r="D206">
        <v>5</v>
      </c>
      <c r="E206">
        <v>8</v>
      </c>
      <c r="F206" t="s">
        <v>12</v>
      </c>
      <c r="G206">
        <f t="shared" si="14"/>
        <v>6</v>
      </c>
      <c r="H206">
        <f t="shared" si="25"/>
        <v>1</v>
      </c>
      <c r="I206">
        <f t="shared" si="26"/>
        <v>7</v>
      </c>
      <c r="J206">
        <f t="shared" si="28"/>
        <v>0</v>
      </c>
      <c r="K206">
        <f t="shared" si="29"/>
        <v>0</v>
      </c>
      <c r="L206">
        <f t="shared" si="27"/>
        <v>-3</v>
      </c>
    </row>
    <row r="207" spans="1:12" x14ac:dyDescent="0.25">
      <c r="A207">
        <v>11</v>
      </c>
      <c r="B207" s="1">
        <v>45375</v>
      </c>
      <c r="C207" t="s">
        <v>4</v>
      </c>
      <c r="D207">
        <v>6</v>
      </c>
      <c r="E207">
        <v>6</v>
      </c>
      <c r="F207" t="s">
        <v>56</v>
      </c>
      <c r="G207">
        <f t="shared" si="14"/>
        <v>5</v>
      </c>
      <c r="H207">
        <f t="shared" si="25"/>
        <v>0</v>
      </c>
      <c r="I207">
        <f t="shared" si="26"/>
        <v>5</v>
      </c>
      <c r="J207">
        <f t="shared" si="28"/>
        <v>0</v>
      </c>
      <c r="K207">
        <f t="shared" si="29"/>
        <v>0</v>
      </c>
      <c r="L207">
        <f t="shared" si="27"/>
        <v>0</v>
      </c>
    </row>
    <row r="208" spans="1:12" x14ac:dyDescent="0.25">
      <c r="A208">
        <v>11</v>
      </c>
      <c r="B208" s="1">
        <v>45375</v>
      </c>
      <c r="C208" t="s">
        <v>4</v>
      </c>
      <c r="D208">
        <v>7</v>
      </c>
      <c r="E208">
        <v>7</v>
      </c>
      <c r="F208" t="s">
        <v>57</v>
      </c>
      <c r="G208">
        <f t="shared" si="14"/>
        <v>4</v>
      </c>
      <c r="H208">
        <f t="shared" si="25"/>
        <v>0</v>
      </c>
      <c r="I208">
        <f t="shared" si="26"/>
        <v>4</v>
      </c>
      <c r="J208">
        <f t="shared" si="28"/>
        <v>0</v>
      </c>
      <c r="K208">
        <f t="shared" si="29"/>
        <v>0</v>
      </c>
      <c r="L208">
        <f t="shared" si="27"/>
        <v>0</v>
      </c>
    </row>
    <row r="209" spans="1:12" x14ac:dyDescent="0.25">
      <c r="A209">
        <v>11</v>
      </c>
      <c r="B209" s="1">
        <v>45375</v>
      </c>
      <c r="C209" t="s">
        <v>4</v>
      </c>
      <c r="D209">
        <v>8</v>
      </c>
      <c r="E209">
        <v>11</v>
      </c>
      <c r="F209" t="s">
        <v>27</v>
      </c>
      <c r="G209">
        <f t="shared" si="14"/>
        <v>3</v>
      </c>
      <c r="H209">
        <f t="shared" si="25"/>
        <v>0</v>
      </c>
      <c r="I209">
        <f t="shared" si="26"/>
        <v>3</v>
      </c>
      <c r="J209">
        <f t="shared" si="28"/>
        <v>0</v>
      </c>
      <c r="K209">
        <f t="shared" si="29"/>
        <v>0</v>
      </c>
      <c r="L209">
        <f t="shared" si="27"/>
        <v>-3</v>
      </c>
    </row>
    <row r="210" spans="1:12" x14ac:dyDescent="0.25">
      <c r="A210">
        <v>11</v>
      </c>
      <c r="B210" s="1">
        <v>45375</v>
      </c>
      <c r="C210" t="s">
        <v>4</v>
      </c>
      <c r="D210">
        <v>9</v>
      </c>
      <c r="E210">
        <v>9</v>
      </c>
      <c r="F210" t="s">
        <v>58</v>
      </c>
      <c r="G210">
        <f t="shared" si="14"/>
        <v>2</v>
      </c>
      <c r="H210">
        <f t="shared" si="25"/>
        <v>0</v>
      </c>
      <c r="I210">
        <f t="shared" si="26"/>
        <v>2</v>
      </c>
      <c r="J210">
        <f t="shared" si="28"/>
        <v>0</v>
      </c>
      <c r="K210">
        <f t="shared" si="29"/>
        <v>0</v>
      </c>
      <c r="L210">
        <f t="shared" si="27"/>
        <v>0</v>
      </c>
    </row>
    <row r="211" spans="1:12" x14ac:dyDescent="0.25">
      <c r="A211">
        <v>11</v>
      </c>
      <c r="B211" s="1">
        <v>45375</v>
      </c>
      <c r="C211" t="s">
        <v>4</v>
      </c>
      <c r="D211">
        <v>10</v>
      </c>
      <c r="E211">
        <v>11</v>
      </c>
      <c r="F211" t="s">
        <v>59</v>
      </c>
      <c r="G211">
        <f t="shared" si="14"/>
        <v>1</v>
      </c>
      <c r="H211">
        <f t="shared" si="25"/>
        <v>0</v>
      </c>
      <c r="I211">
        <f t="shared" si="26"/>
        <v>1</v>
      </c>
      <c r="J211">
        <f t="shared" si="28"/>
        <v>0</v>
      </c>
      <c r="K211">
        <f t="shared" si="29"/>
        <v>0</v>
      </c>
      <c r="L211">
        <f t="shared" si="27"/>
        <v>-1</v>
      </c>
    </row>
    <row r="212" spans="1:12" x14ac:dyDescent="0.25">
      <c r="A212">
        <v>11</v>
      </c>
      <c r="B212" s="1">
        <v>45375</v>
      </c>
      <c r="C212" t="s">
        <v>29</v>
      </c>
      <c r="D212">
        <v>1</v>
      </c>
      <c r="E212">
        <v>2</v>
      </c>
      <c r="F212" t="s">
        <v>60</v>
      </c>
      <c r="G212">
        <f t="shared" si="14"/>
        <v>10</v>
      </c>
      <c r="H212">
        <f t="shared" si="25"/>
        <v>9</v>
      </c>
      <c r="I212">
        <f t="shared" si="26"/>
        <v>19</v>
      </c>
      <c r="J212">
        <f t="shared" si="28"/>
        <v>1</v>
      </c>
      <c r="K212">
        <f t="shared" si="29"/>
        <v>1</v>
      </c>
      <c r="L212">
        <f t="shared" si="27"/>
        <v>-1</v>
      </c>
    </row>
    <row r="213" spans="1:12" x14ac:dyDescent="0.25">
      <c r="A213">
        <v>11</v>
      </c>
      <c r="B213" s="1">
        <v>45375</v>
      </c>
      <c r="C213" t="s">
        <v>29</v>
      </c>
      <c r="D213">
        <v>2</v>
      </c>
      <c r="E213">
        <v>1</v>
      </c>
      <c r="F213" t="s">
        <v>51</v>
      </c>
      <c r="G213">
        <f t="shared" si="14"/>
        <v>9</v>
      </c>
      <c r="H213">
        <f t="shared" si="25"/>
        <v>7</v>
      </c>
      <c r="I213">
        <f t="shared" si="26"/>
        <v>16</v>
      </c>
      <c r="J213">
        <f t="shared" si="28"/>
        <v>0</v>
      </c>
      <c r="K213">
        <f t="shared" si="29"/>
        <v>1</v>
      </c>
      <c r="L213">
        <f t="shared" si="27"/>
        <v>1</v>
      </c>
    </row>
    <row r="214" spans="1:12" x14ac:dyDescent="0.25">
      <c r="A214">
        <v>11</v>
      </c>
      <c r="B214" s="1">
        <v>45375</v>
      </c>
      <c r="C214" t="s">
        <v>29</v>
      </c>
      <c r="D214">
        <v>3</v>
      </c>
      <c r="E214">
        <v>3</v>
      </c>
      <c r="F214" t="s">
        <v>61</v>
      </c>
      <c r="G214">
        <f t="shared" si="14"/>
        <v>8</v>
      </c>
      <c r="H214">
        <f t="shared" si="25"/>
        <v>5</v>
      </c>
      <c r="I214">
        <f t="shared" si="26"/>
        <v>13</v>
      </c>
      <c r="J214">
        <f t="shared" si="28"/>
        <v>0</v>
      </c>
      <c r="K214">
        <f t="shared" si="29"/>
        <v>1</v>
      </c>
      <c r="L214">
        <f t="shared" si="27"/>
        <v>0</v>
      </c>
    </row>
    <row r="215" spans="1:12" x14ac:dyDescent="0.25">
      <c r="A215">
        <v>11</v>
      </c>
      <c r="B215" s="1">
        <v>45375</v>
      </c>
      <c r="C215" t="s">
        <v>29</v>
      </c>
      <c r="D215">
        <v>4</v>
      </c>
      <c r="E215">
        <v>4</v>
      </c>
      <c r="F215" t="s">
        <v>62</v>
      </c>
      <c r="G215">
        <f t="shared" si="14"/>
        <v>7</v>
      </c>
      <c r="H215">
        <f t="shared" si="25"/>
        <v>3</v>
      </c>
      <c r="I215">
        <f t="shared" si="26"/>
        <v>10</v>
      </c>
      <c r="J215">
        <f t="shared" si="28"/>
        <v>0</v>
      </c>
      <c r="K215">
        <f t="shared" si="29"/>
        <v>0</v>
      </c>
      <c r="L215">
        <f t="shared" si="27"/>
        <v>0</v>
      </c>
    </row>
    <row r="216" spans="1:12" x14ac:dyDescent="0.25">
      <c r="A216">
        <v>11</v>
      </c>
      <c r="B216" s="1">
        <v>45375</v>
      </c>
      <c r="C216" t="s">
        <v>29</v>
      </c>
      <c r="D216">
        <v>5</v>
      </c>
      <c r="E216">
        <v>5</v>
      </c>
      <c r="F216" t="s">
        <v>63</v>
      </c>
      <c r="G216">
        <f t="shared" si="14"/>
        <v>6</v>
      </c>
      <c r="H216">
        <f t="shared" si="25"/>
        <v>1</v>
      </c>
      <c r="I216">
        <f t="shared" si="26"/>
        <v>7</v>
      </c>
      <c r="J216">
        <f t="shared" si="28"/>
        <v>0</v>
      </c>
      <c r="K216">
        <f t="shared" si="29"/>
        <v>0</v>
      </c>
      <c r="L216">
        <f t="shared" si="27"/>
        <v>0</v>
      </c>
    </row>
    <row r="217" spans="1:12" x14ac:dyDescent="0.25">
      <c r="A217">
        <v>11</v>
      </c>
      <c r="B217" s="1">
        <v>45375</v>
      </c>
      <c r="C217" t="s">
        <v>29</v>
      </c>
      <c r="D217">
        <v>6</v>
      </c>
      <c r="E217">
        <v>11</v>
      </c>
      <c r="F217" t="s">
        <v>64</v>
      </c>
      <c r="G217">
        <f t="shared" si="14"/>
        <v>5</v>
      </c>
      <c r="H217">
        <f t="shared" si="25"/>
        <v>0</v>
      </c>
      <c r="I217">
        <f t="shared" si="26"/>
        <v>5</v>
      </c>
      <c r="J217">
        <f t="shared" si="28"/>
        <v>0</v>
      </c>
      <c r="K217">
        <f t="shared" si="29"/>
        <v>0</v>
      </c>
      <c r="L217">
        <f t="shared" si="27"/>
        <v>-5</v>
      </c>
    </row>
    <row r="218" spans="1:12" x14ac:dyDescent="0.25">
      <c r="A218">
        <v>11</v>
      </c>
      <c r="B218" s="1">
        <v>45375</v>
      </c>
      <c r="C218" t="s">
        <v>29</v>
      </c>
      <c r="D218">
        <v>7</v>
      </c>
      <c r="E218">
        <v>11</v>
      </c>
      <c r="F218" t="s">
        <v>65</v>
      </c>
      <c r="G218">
        <f t="shared" si="14"/>
        <v>4</v>
      </c>
      <c r="H218">
        <f t="shared" si="25"/>
        <v>0</v>
      </c>
      <c r="I218">
        <f t="shared" si="26"/>
        <v>4</v>
      </c>
      <c r="J218">
        <f t="shared" si="28"/>
        <v>0</v>
      </c>
      <c r="K218">
        <f t="shared" si="29"/>
        <v>0</v>
      </c>
      <c r="L218">
        <f t="shared" si="27"/>
        <v>-4</v>
      </c>
    </row>
    <row r="219" spans="1:12" x14ac:dyDescent="0.25">
      <c r="A219">
        <v>11</v>
      </c>
      <c r="B219" s="1">
        <v>45375</v>
      </c>
      <c r="C219" t="s">
        <v>29</v>
      </c>
      <c r="D219">
        <v>8</v>
      </c>
      <c r="E219">
        <v>7</v>
      </c>
      <c r="F219" t="s">
        <v>66</v>
      </c>
      <c r="G219">
        <f t="shared" si="14"/>
        <v>3</v>
      </c>
      <c r="H219">
        <f t="shared" si="25"/>
        <v>0</v>
      </c>
      <c r="I219">
        <f t="shared" si="26"/>
        <v>3</v>
      </c>
      <c r="J219">
        <f t="shared" si="28"/>
        <v>0</v>
      </c>
      <c r="K219">
        <f t="shared" si="29"/>
        <v>0</v>
      </c>
      <c r="L219">
        <f t="shared" si="27"/>
        <v>1</v>
      </c>
    </row>
    <row r="220" spans="1:12" x14ac:dyDescent="0.25">
      <c r="A220">
        <v>11</v>
      </c>
      <c r="B220" s="1">
        <v>45375</v>
      </c>
      <c r="C220" t="s">
        <v>29</v>
      </c>
      <c r="D220">
        <v>9</v>
      </c>
      <c r="E220">
        <v>8</v>
      </c>
      <c r="F220" t="s">
        <v>67</v>
      </c>
      <c r="G220">
        <f t="shared" si="14"/>
        <v>2</v>
      </c>
      <c r="H220">
        <f t="shared" si="25"/>
        <v>0</v>
      </c>
      <c r="I220">
        <f t="shared" si="26"/>
        <v>2</v>
      </c>
      <c r="J220">
        <f t="shared" si="28"/>
        <v>0</v>
      </c>
      <c r="K220">
        <f t="shared" si="29"/>
        <v>0</v>
      </c>
      <c r="L220">
        <f t="shared" si="27"/>
        <v>1</v>
      </c>
    </row>
    <row r="221" spans="1:12" x14ac:dyDescent="0.25">
      <c r="A221">
        <v>11</v>
      </c>
      <c r="B221" s="1">
        <v>45375</v>
      </c>
      <c r="C221" t="s">
        <v>29</v>
      </c>
      <c r="D221">
        <v>10</v>
      </c>
      <c r="E221">
        <v>11</v>
      </c>
      <c r="F221" t="s">
        <v>50</v>
      </c>
      <c r="G221">
        <f t="shared" si="14"/>
        <v>1</v>
      </c>
      <c r="H221">
        <f t="shared" si="25"/>
        <v>0</v>
      </c>
      <c r="I221">
        <f t="shared" si="26"/>
        <v>1</v>
      </c>
      <c r="J221">
        <f t="shared" si="28"/>
        <v>0</v>
      </c>
      <c r="K221">
        <f t="shared" si="29"/>
        <v>0</v>
      </c>
      <c r="L221">
        <f t="shared" si="27"/>
        <v>-1</v>
      </c>
    </row>
    <row r="222" spans="1:12" x14ac:dyDescent="0.25">
      <c r="A222">
        <v>12</v>
      </c>
      <c r="B222" s="1">
        <v>45382</v>
      </c>
      <c r="C222" t="s">
        <v>4</v>
      </c>
      <c r="D222">
        <v>1</v>
      </c>
      <c r="E222">
        <v>1</v>
      </c>
      <c r="F222" t="s">
        <v>26</v>
      </c>
      <c r="G222">
        <f t="shared" ref="G222:G241" si="30">11-D222</f>
        <v>10</v>
      </c>
      <c r="H222">
        <f t="shared" si="25"/>
        <v>9</v>
      </c>
      <c r="I222">
        <f t="shared" si="26"/>
        <v>19</v>
      </c>
      <c r="J222">
        <f t="shared" si="28"/>
        <v>1</v>
      </c>
      <c r="K222">
        <f t="shared" si="29"/>
        <v>1</v>
      </c>
      <c r="L222">
        <f t="shared" si="27"/>
        <v>0</v>
      </c>
    </row>
    <row r="223" spans="1:12" x14ac:dyDescent="0.25">
      <c r="A223">
        <v>12</v>
      </c>
      <c r="B223" s="1">
        <v>45382</v>
      </c>
      <c r="C223" t="s">
        <v>4</v>
      </c>
      <c r="D223">
        <v>2</v>
      </c>
      <c r="E223">
        <v>2</v>
      </c>
      <c r="F223" t="s">
        <v>54</v>
      </c>
      <c r="G223">
        <f t="shared" si="30"/>
        <v>9</v>
      </c>
      <c r="H223">
        <f t="shared" si="25"/>
        <v>7</v>
      </c>
      <c r="I223">
        <f t="shared" si="26"/>
        <v>16</v>
      </c>
      <c r="J223">
        <f t="shared" si="28"/>
        <v>0</v>
      </c>
      <c r="K223">
        <f t="shared" si="29"/>
        <v>1</v>
      </c>
      <c r="L223">
        <f t="shared" si="27"/>
        <v>0</v>
      </c>
    </row>
    <row r="224" spans="1:12" x14ac:dyDescent="0.25">
      <c r="A224">
        <v>12</v>
      </c>
      <c r="B224" s="1">
        <v>45382</v>
      </c>
      <c r="C224" t="s">
        <v>4</v>
      </c>
      <c r="D224">
        <v>3</v>
      </c>
      <c r="E224">
        <v>3</v>
      </c>
      <c r="F224" t="s">
        <v>55</v>
      </c>
      <c r="G224">
        <f t="shared" si="30"/>
        <v>8</v>
      </c>
      <c r="H224">
        <f t="shared" si="25"/>
        <v>5</v>
      </c>
      <c r="I224">
        <f t="shared" si="26"/>
        <v>13</v>
      </c>
      <c r="J224">
        <f t="shared" si="28"/>
        <v>0</v>
      </c>
      <c r="K224">
        <f t="shared" si="29"/>
        <v>1</v>
      </c>
      <c r="L224">
        <f t="shared" si="27"/>
        <v>0</v>
      </c>
    </row>
    <row r="225" spans="1:12" x14ac:dyDescent="0.25">
      <c r="A225">
        <v>12</v>
      </c>
      <c r="B225" s="1">
        <v>45382</v>
      </c>
      <c r="C225" t="s">
        <v>4</v>
      </c>
      <c r="D225">
        <v>4</v>
      </c>
      <c r="E225">
        <v>4</v>
      </c>
      <c r="F225" t="s">
        <v>20</v>
      </c>
      <c r="G225">
        <f t="shared" si="30"/>
        <v>7</v>
      </c>
      <c r="H225">
        <f t="shared" si="25"/>
        <v>3</v>
      </c>
      <c r="I225">
        <f t="shared" si="26"/>
        <v>10</v>
      </c>
      <c r="J225">
        <f t="shared" si="28"/>
        <v>0</v>
      </c>
      <c r="K225">
        <f t="shared" si="29"/>
        <v>0</v>
      </c>
      <c r="L225">
        <f t="shared" si="27"/>
        <v>0</v>
      </c>
    </row>
    <row r="226" spans="1:12" x14ac:dyDescent="0.25">
      <c r="A226">
        <v>12</v>
      </c>
      <c r="B226" s="1">
        <v>45382</v>
      </c>
      <c r="C226" t="s">
        <v>4</v>
      </c>
      <c r="D226">
        <v>5</v>
      </c>
      <c r="E226">
        <v>5</v>
      </c>
      <c r="F226" t="s">
        <v>12</v>
      </c>
      <c r="G226">
        <f t="shared" si="30"/>
        <v>6</v>
      </c>
      <c r="H226">
        <f t="shared" si="25"/>
        <v>1</v>
      </c>
      <c r="I226">
        <f t="shared" si="26"/>
        <v>7</v>
      </c>
      <c r="J226">
        <f t="shared" si="28"/>
        <v>0</v>
      </c>
      <c r="K226">
        <f t="shared" si="29"/>
        <v>0</v>
      </c>
      <c r="L226">
        <f t="shared" si="27"/>
        <v>0</v>
      </c>
    </row>
    <row r="227" spans="1:12" x14ac:dyDescent="0.25">
      <c r="A227">
        <v>12</v>
      </c>
      <c r="B227" s="1">
        <v>45382</v>
      </c>
      <c r="C227" t="s">
        <v>4</v>
      </c>
      <c r="D227">
        <v>6</v>
      </c>
      <c r="E227">
        <v>6</v>
      </c>
      <c r="F227" t="s">
        <v>56</v>
      </c>
      <c r="G227">
        <f t="shared" si="30"/>
        <v>5</v>
      </c>
      <c r="H227">
        <f t="shared" si="25"/>
        <v>0</v>
      </c>
      <c r="I227">
        <f t="shared" si="26"/>
        <v>5</v>
      </c>
      <c r="J227">
        <f t="shared" si="28"/>
        <v>0</v>
      </c>
      <c r="K227">
        <f t="shared" si="29"/>
        <v>0</v>
      </c>
      <c r="L227">
        <f t="shared" si="27"/>
        <v>0</v>
      </c>
    </row>
    <row r="228" spans="1:12" x14ac:dyDescent="0.25">
      <c r="A228">
        <v>12</v>
      </c>
      <c r="B228" s="1">
        <v>45382</v>
      </c>
      <c r="C228" t="s">
        <v>4</v>
      </c>
      <c r="D228">
        <v>7</v>
      </c>
      <c r="E228">
        <v>7</v>
      </c>
      <c r="F228" t="s">
        <v>57</v>
      </c>
      <c r="G228">
        <f t="shared" si="30"/>
        <v>4</v>
      </c>
      <c r="H228">
        <f t="shared" si="25"/>
        <v>0</v>
      </c>
      <c r="I228">
        <f t="shared" si="26"/>
        <v>4</v>
      </c>
      <c r="J228">
        <f t="shared" si="28"/>
        <v>0</v>
      </c>
      <c r="K228">
        <f t="shared" si="29"/>
        <v>0</v>
      </c>
      <c r="L228">
        <f t="shared" si="27"/>
        <v>0</v>
      </c>
    </row>
    <row r="229" spans="1:12" x14ac:dyDescent="0.25">
      <c r="A229">
        <v>12</v>
      </c>
      <c r="B229" s="1">
        <v>45382</v>
      </c>
      <c r="C229" t="s">
        <v>4</v>
      </c>
      <c r="D229">
        <v>8</v>
      </c>
      <c r="E229">
        <v>8</v>
      </c>
      <c r="F229" t="s">
        <v>27</v>
      </c>
      <c r="G229">
        <f t="shared" si="30"/>
        <v>3</v>
      </c>
      <c r="H229">
        <f t="shared" si="25"/>
        <v>0</v>
      </c>
      <c r="I229">
        <f t="shared" si="26"/>
        <v>3</v>
      </c>
      <c r="J229">
        <f t="shared" si="28"/>
        <v>0</v>
      </c>
      <c r="K229">
        <f t="shared" si="29"/>
        <v>0</v>
      </c>
      <c r="L229">
        <f t="shared" si="27"/>
        <v>0</v>
      </c>
    </row>
    <row r="230" spans="1:12" x14ac:dyDescent="0.25">
      <c r="A230">
        <v>12</v>
      </c>
      <c r="B230" s="1">
        <v>45382</v>
      </c>
      <c r="C230" t="s">
        <v>4</v>
      </c>
      <c r="D230">
        <v>9</v>
      </c>
      <c r="E230">
        <v>10</v>
      </c>
      <c r="F230" t="s">
        <v>59</v>
      </c>
      <c r="G230">
        <f t="shared" si="30"/>
        <v>2</v>
      </c>
      <c r="H230">
        <f t="shared" si="25"/>
        <v>0</v>
      </c>
      <c r="I230">
        <f t="shared" si="26"/>
        <v>2</v>
      </c>
      <c r="J230">
        <f t="shared" si="28"/>
        <v>0</v>
      </c>
      <c r="K230">
        <f t="shared" si="29"/>
        <v>0</v>
      </c>
      <c r="L230">
        <f t="shared" si="27"/>
        <v>-1</v>
      </c>
    </row>
    <row r="231" spans="1:12" x14ac:dyDescent="0.25">
      <c r="A231">
        <v>12</v>
      </c>
      <c r="B231" s="1">
        <v>45382</v>
      </c>
      <c r="C231" t="s">
        <v>4</v>
      </c>
      <c r="D231">
        <v>10</v>
      </c>
      <c r="E231">
        <v>11</v>
      </c>
      <c r="F231" t="s">
        <v>25</v>
      </c>
      <c r="G231">
        <f t="shared" si="30"/>
        <v>1</v>
      </c>
      <c r="H231">
        <f t="shared" si="25"/>
        <v>0</v>
      </c>
      <c r="I231">
        <f t="shared" si="26"/>
        <v>1</v>
      </c>
      <c r="J231">
        <f t="shared" si="28"/>
        <v>0</v>
      </c>
      <c r="K231">
        <f t="shared" si="29"/>
        <v>0</v>
      </c>
      <c r="L231">
        <f t="shared" si="27"/>
        <v>-1</v>
      </c>
    </row>
    <row r="232" spans="1:12" x14ac:dyDescent="0.25">
      <c r="A232">
        <v>12</v>
      </c>
      <c r="B232" s="1">
        <v>45382</v>
      </c>
      <c r="C232" t="s">
        <v>29</v>
      </c>
      <c r="D232">
        <v>1</v>
      </c>
      <c r="E232">
        <v>1</v>
      </c>
      <c r="F232" t="s">
        <v>60</v>
      </c>
      <c r="G232">
        <f t="shared" si="30"/>
        <v>10</v>
      </c>
      <c r="H232">
        <f t="shared" si="25"/>
        <v>9</v>
      </c>
      <c r="I232">
        <f t="shared" si="26"/>
        <v>19</v>
      </c>
      <c r="J232">
        <f t="shared" si="28"/>
        <v>1</v>
      </c>
      <c r="K232">
        <f t="shared" si="29"/>
        <v>1</v>
      </c>
      <c r="L232">
        <f t="shared" si="27"/>
        <v>0</v>
      </c>
    </row>
    <row r="233" spans="1:12" x14ac:dyDescent="0.25">
      <c r="A233">
        <v>12</v>
      </c>
      <c r="B233" s="1">
        <v>45382</v>
      </c>
      <c r="C233" t="s">
        <v>29</v>
      </c>
      <c r="D233">
        <v>2</v>
      </c>
      <c r="E233">
        <v>2</v>
      </c>
      <c r="F233" t="s">
        <v>51</v>
      </c>
      <c r="G233">
        <f t="shared" si="30"/>
        <v>9</v>
      </c>
      <c r="H233">
        <f t="shared" si="25"/>
        <v>7</v>
      </c>
      <c r="I233">
        <f t="shared" si="26"/>
        <v>16</v>
      </c>
      <c r="J233">
        <f t="shared" si="28"/>
        <v>0</v>
      </c>
      <c r="K233">
        <f t="shared" si="29"/>
        <v>1</v>
      </c>
      <c r="L233">
        <f t="shared" si="27"/>
        <v>0</v>
      </c>
    </row>
    <row r="234" spans="1:12" x14ac:dyDescent="0.25">
      <c r="A234">
        <v>12</v>
      </c>
      <c r="B234" s="1">
        <v>45382</v>
      </c>
      <c r="C234" t="s">
        <v>29</v>
      </c>
      <c r="D234">
        <v>3</v>
      </c>
      <c r="E234">
        <v>3</v>
      </c>
      <c r="F234" t="s">
        <v>61</v>
      </c>
      <c r="G234">
        <f t="shared" si="30"/>
        <v>8</v>
      </c>
      <c r="H234">
        <f t="shared" si="25"/>
        <v>5</v>
      </c>
      <c r="I234">
        <f t="shared" si="26"/>
        <v>13</v>
      </c>
      <c r="J234">
        <f t="shared" si="28"/>
        <v>0</v>
      </c>
      <c r="K234">
        <f t="shared" si="29"/>
        <v>1</v>
      </c>
      <c r="L234">
        <f t="shared" si="27"/>
        <v>0</v>
      </c>
    </row>
    <row r="235" spans="1:12" x14ac:dyDescent="0.25">
      <c r="A235">
        <v>12</v>
      </c>
      <c r="B235" s="1">
        <v>45382</v>
      </c>
      <c r="C235" t="s">
        <v>29</v>
      </c>
      <c r="D235">
        <v>4</v>
      </c>
      <c r="E235">
        <v>4</v>
      </c>
      <c r="F235" t="s">
        <v>62</v>
      </c>
      <c r="G235">
        <f t="shared" si="30"/>
        <v>7</v>
      </c>
      <c r="H235">
        <f t="shared" si="25"/>
        <v>3</v>
      </c>
      <c r="I235">
        <f t="shared" si="26"/>
        <v>10</v>
      </c>
      <c r="J235">
        <f t="shared" si="28"/>
        <v>0</v>
      </c>
      <c r="K235">
        <f t="shared" si="29"/>
        <v>0</v>
      </c>
      <c r="L235">
        <f t="shared" si="27"/>
        <v>0</v>
      </c>
    </row>
    <row r="236" spans="1:12" x14ac:dyDescent="0.25">
      <c r="A236">
        <v>12</v>
      </c>
      <c r="B236" s="1">
        <v>45382</v>
      </c>
      <c r="C236" t="s">
        <v>29</v>
      </c>
      <c r="D236">
        <v>5</v>
      </c>
      <c r="E236">
        <v>5</v>
      </c>
      <c r="F236" t="s">
        <v>63</v>
      </c>
      <c r="G236">
        <f t="shared" si="30"/>
        <v>6</v>
      </c>
      <c r="H236">
        <f t="shared" si="25"/>
        <v>1</v>
      </c>
      <c r="I236">
        <f t="shared" si="26"/>
        <v>7</v>
      </c>
      <c r="J236">
        <f t="shared" si="28"/>
        <v>0</v>
      </c>
      <c r="K236">
        <f t="shared" si="29"/>
        <v>0</v>
      </c>
      <c r="L236">
        <f t="shared" si="27"/>
        <v>0</v>
      </c>
    </row>
    <row r="237" spans="1:12" x14ac:dyDescent="0.25">
      <c r="A237">
        <v>12</v>
      </c>
      <c r="B237" s="1">
        <v>45382</v>
      </c>
      <c r="C237" t="s">
        <v>29</v>
      </c>
      <c r="D237">
        <v>6</v>
      </c>
      <c r="E237">
        <v>6</v>
      </c>
      <c r="F237" t="s">
        <v>64</v>
      </c>
      <c r="G237">
        <f t="shared" si="30"/>
        <v>5</v>
      </c>
      <c r="H237">
        <f t="shared" si="25"/>
        <v>0</v>
      </c>
      <c r="I237">
        <f t="shared" si="26"/>
        <v>5</v>
      </c>
      <c r="J237">
        <f t="shared" si="28"/>
        <v>0</v>
      </c>
      <c r="K237">
        <f t="shared" si="29"/>
        <v>0</v>
      </c>
      <c r="L237">
        <f t="shared" si="27"/>
        <v>0</v>
      </c>
    </row>
    <row r="238" spans="1:12" x14ac:dyDescent="0.25">
      <c r="A238">
        <v>12</v>
      </c>
      <c r="B238" s="1">
        <v>45382</v>
      </c>
      <c r="C238" t="s">
        <v>29</v>
      </c>
      <c r="D238">
        <v>7</v>
      </c>
      <c r="E238">
        <v>7</v>
      </c>
      <c r="F238" t="s">
        <v>65</v>
      </c>
      <c r="G238">
        <f t="shared" si="30"/>
        <v>4</v>
      </c>
      <c r="H238">
        <f t="shared" si="25"/>
        <v>0</v>
      </c>
      <c r="I238">
        <f t="shared" si="26"/>
        <v>4</v>
      </c>
      <c r="J238">
        <f t="shared" si="28"/>
        <v>0</v>
      </c>
      <c r="K238">
        <f t="shared" si="29"/>
        <v>0</v>
      </c>
      <c r="L238">
        <f t="shared" si="27"/>
        <v>0</v>
      </c>
    </row>
    <row r="239" spans="1:12" x14ac:dyDescent="0.25">
      <c r="A239">
        <v>12</v>
      </c>
      <c r="B239" s="1">
        <v>45382</v>
      </c>
      <c r="C239" t="s">
        <v>29</v>
      </c>
      <c r="D239">
        <v>8</v>
      </c>
      <c r="E239">
        <v>8</v>
      </c>
      <c r="F239" t="s">
        <v>66</v>
      </c>
      <c r="G239">
        <f t="shared" si="30"/>
        <v>3</v>
      </c>
      <c r="H239">
        <f t="shared" si="25"/>
        <v>0</v>
      </c>
      <c r="I239">
        <f t="shared" si="26"/>
        <v>3</v>
      </c>
      <c r="J239">
        <f t="shared" si="28"/>
        <v>0</v>
      </c>
      <c r="K239">
        <f t="shared" si="29"/>
        <v>0</v>
      </c>
      <c r="L239">
        <f t="shared" si="27"/>
        <v>0</v>
      </c>
    </row>
    <row r="240" spans="1:12" x14ac:dyDescent="0.25">
      <c r="A240">
        <v>12</v>
      </c>
      <c r="B240" s="1">
        <v>45382</v>
      </c>
      <c r="C240" t="s">
        <v>29</v>
      </c>
      <c r="D240">
        <v>9</v>
      </c>
      <c r="E240">
        <v>10</v>
      </c>
      <c r="F240" t="s">
        <v>50</v>
      </c>
      <c r="G240">
        <f t="shared" si="30"/>
        <v>2</v>
      </c>
      <c r="H240">
        <f t="shared" si="25"/>
        <v>0</v>
      </c>
      <c r="I240">
        <f t="shared" si="26"/>
        <v>2</v>
      </c>
      <c r="J240">
        <f t="shared" si="28"/>
        <v>0</v>
      </c>
      <c r="K240">
        <f t="shared" si="29"/>
        <v>0</v>
      </c>
      <c r="L240">
        <f t="shared" si="27"/>
        <v>-1</v>
      </c>
    </row>
    <row r="241" spans="1:12" x14ac:dyDescent="0.25">
      <c r="A241">
        <v>12</v>
      </c>
      <c r="B241" s="1">
        <v>45382</v>
      </c>
      <c r="C241" t="s">
        <v>29</v>
      </c>
      <c r="D241">
        <v>10</v>
      </c>
      <c r="E241">
        <v>9</v>
      </c>
      <c r="F241" t="s">
        <v>67</v>
      </c>
      <c r="G241">
        <f t="shared" si="30"/>
        <v>1</v>
      </c>
      <c r="H241">
        <f t="shared" si="25"/>
        <v>0</v>
      </c>
      <c r="I241">
        <f t="shared" si="26"/>
        <v>1</v>
      </c>
      <c r="J241">
        <f t="shared" si="28"/>
        <v>0</v>
      </c>
      <c r="K241">
        <f t="shared" si="29"/>
        <v>0</v>
      </c>
      <c r="L241">
        <f t="shared" si="27"/>
        <v>1</v>
      </c>
    </row>
    <row r="242" spans="1:12" x14ac:dyDescent="0.25">
      <c r="A242">
        <v>13</v>
      </c>
      <c r="B242" s="1">
        <v>45389</v>
      </c>
      <c r="C242" t="s">
        <v>4</v>
      </c>
      <c r="D242">
        <v>1</v>
      </c>
      <c r="E242">
        <v>1</v>
      </c>
      <c r="F242" t="s">
        <v>26</v>
      </c>
      <c r="G242">
        <f t="shared" ref="G242:G261" si="31">11-D242</f>
        <v>10</v>
      </c>
      <c r="H242">
        <f t="shared" si="25"/>
        <v>9</v>
      </c>
      <c r="I242">
        <f t="shared" si="26"/>
        <v>19</v>
      </c>
      <c r="J242">
        <f t="shared" si="28"/>
        <v>1</v>
      </c>
      <c r="K242">
        <f t="shared" si="29"/>
        <v>1</v>
      </c>
      <c r="L242">
        <f t="shared" si="27"/>
        <v>0</v>
      </c>
    </row>
    <row r="243" spans="1:12" x14ac:dyDescent="0.25">
      <c r="A243">
        <v>13</v>
      </c>
      <c r="B243" s="1">
        <v>45389</v>
      </c>
      <c r="C243" t="s">
        <v>4</v>
      </c>
      <c r="D243">
        <v>2</v>
      </c>
      <c r="E243">
        <v>2</v>
      </c>
      <c r="F243" t="s">
        <v>54</v>
      </c>
      <c r="G243">
        <f t="shared" si="31"/>
        <v>9</v>
      </c>
      <c r="H243">
        <f t="shared" si="25"/>
        <v>7</v>
      </c>
      <c r="I243">
        <f t="shared" si="26"/>
        <v>16</v>
      </c>
      <c r="J243">
        <f t="shared" si="28"/>
        <v>0</v>
      </c>
      <c r="K243">
        <f t="shared" si="29"/>
        <v>1</v>
      </c>
      <c r="L243">
        <f t="shared" si="27"/>
        <v>0</v>
      </c>
    </row>
    <row r="244" spans="1:12" x14ac:dyDescent="0.25">
      <c r="A244">
        <v>13</v>
      </c>
      <c r="B244" s="1">
        <v>45389</v>
      </c>
      <c r="C244" t="s">
        <v>4</v>
      </c>
      <c r="D244">
        <v>3</v>
      </c>
      <c r="E244">
        <v>11</v>
      </c>
      <c r="F244" t="s">
        <v>21</v>
      </c>
      <c r="G244">
        <f t="shared" si="31"/>
        <v>8</v>
      </c>
      <c r="H244">
        <f t="shared" si="25"/>
        <v>5</v>
      </c>
      <c r="I244">
        <f t="shared" si="26"/>
        <v>13</v>
      </c>
      <c r="J244">
        <f t="shared" si="28"/>
        <v>0</v>
      </c>
      <c r="K244">
        <f t="shared" si="29"/>
        <v>1</v>
      </c>
      <c r="L244">
        <f t="shared" si="27"/>
        <v>-8</v>
      </c>
    </row>
    <row r="245" spans="1:12" x14ac:dyDescent="0.25">
      <c r="A245">
        <v>13</v>
      </c>
      <c r="B245" s="1">
        <v>45389</v>
      </c>
      <c r="C245" t="s">
        <v>4</v>
      </c>
      <c r="D245">
        <v>4</v>
      </c>
      <c r="E245">
        <v>4</v>
      </c>
      <c r="F245" t="s">
        <v>20</v>
      </c>
      <c r="G245">
        <f t="shared" si="31"/>
        <v>7</v>
      </c>
      <c r="H245">
        <f t="shared" si="25"/>
        <v>3</v>
      </c>
      <c r="I245">
        <f t="shared" si="26"/>
        <v>10</v>
      </c>
      <c r="J245">
        <f t="shared" si="28"/>
        <v>0</v>
      </c>
      <c r="K245">
        <f t="shared" si="29"/>
        <v>0</v>
      </c>
      <c r="L245">
        <f t="shared" si="27"/>
        <v>0</v>
      </c>
    </row>
    <row r="246" spans="1:12" x14ac:dyDescent="0.25">
      <c r="A246">
        <v>13</v>
      </c>
      <c r="B246" s="1">
        <v>45389</v>
      </c>
      <c r="C246" t="s">
        <v>4</v>
      </c>
      <c r="D246">
        <v>5</v>
      </c>
      <c r="E246">
        <v>5</v>
      </c>
      <c r="F246" t="s">
        <v>12</v>
      </c>
      <c r="G246">
        <f t="shared" si="31"/>
        <v>6</v>
      </c>
      <c r="H246">
        <f t="shared" si="25"/>
        <v>1</v>
      </c>
      <c r="I246">
        <f t="shared" si="26"/>
        <v>7</v>
      </c>
      <c r="J246">
        <f t="shared" si="28"/>
        <v>0</v>
      </c>
      <c r="K246">
        <f t="shared" si="29"/>
        <v>0</v>
      </c>
      <c r="L246">
        <f t="shared" si="27"/>
        <v>0</v>
      </c>
    </row>
    <row r="247" spans="1:12" x14ac:dyDescent="0.25">
      <c r="A247">
        <v>13</v>
      </c>
      <c r="B247" s="1">
        <v>45389</v>
      </c>
      <c r="C247" t="s">
        <v>4</v>
      </c>
      <c r="D247">
        <v>6</v>
      </c>
      <c r="E247">
        <v>6</v>
      </c>
      <c r="F247" t="s">
        <v>56</v>
      </c>
      <c r="G247">
        <f t="shared" si="31"/>
        <v>5</v>
      </c>
      <c r="H247">
        <f t="shared" si="25"/>
        <v>0</v>
      </c>
      <c r="I247">
        <f t="shared" si="26"/>
        <v>5</v>
      </c>
      <c r="J247">
        <f t="shared" si="28"/>
        <v>0</v>
      </c>
      <c r="K247">
        <f t="shared" si="29"/>
        <v>0</v>
      </c>
      <c r="L247">
        <f t="shared" si="27"/>
        <v>0</v>
      </c>
    </row>
    <row r="248" spans="1:12" x14ac:dyDescent="0.25">
      <c r="A248">
        <v>13</v>
      </c>
      <c r="B248" s="1">
        <v>45389</v>
      </c>
      <c r="C248" t="s">
        <v>4</v>
      </c>
      <c r="D248">
        <v>7</v>
      </c>
      <c r="E248">
        <v>7</v>
      </c>
      <c r="F248" t="s">
        <v>57</v>
      </c>
      <c r="G248">
        <f t="shared" si="31"/>
        <v>4</v>
      </c>
      <c r="H248">
        <f t="shared" si="25"/>
        <v>0</v>
      </c>
      <c r="I248">
        <f t="shared" si="26"/>
        <v>4</v>
      </c>
      <c r="J248">
        <f t="shared" si="28"/>
        <v>0</v>
      </c>
      <c r="K248">
        <f t="shared" si="29"/>
        <v>0</v>
      </c>
      <c r="L248">
        <f t="shared" si="27"/>
        <v>0</v>
      </c>
    </row>
    <row r="249" spans="1:12" x14ac:dyDescent="0.25">
      <c r="A249">
        <v>13</v>
      </c>
      <c r="B249" s="1">
        <v>45389</v>
      </c>
      <c r="C249" t="s">
        <v>4</v>
      </c>
      <c r="D249">
        <v>8</v>
      </c>
      <c r="E249">
        <v>8</v>
      </c>
      <c r="F249" t="s">
        <v>27</v>
      </c>
      <c r="G249">
        <f t="shared" si="31"/>
        <v>3</v>
      </c>
      <c r="H249">
        <f t="shared" si="25"/>
        <v>0</v>
      </c>
      <c r="I249">
        <f t="shared" si="26"/>
        <v>3</v>
      </c>
      <c r="J249">
        <f t="shared" si="28"/>
        <v>0</v>
      </c>
      <c r="K249">
        <f t="shared" si="29"/>
        <v>0</v>
      </c>
      <c r="L249">
        <f t="shared" si="27"/>
        <v>0</v>
      </c>
    </row>
    <row r="250" spans="1:12" x14ac:dyDescent="0.25">
      <c r="A250">
        <v>13</v>
      </c>
      <c r="B250" s="1">
        <v>45389</v>
      </c>
      <c r="C250" t="s">
        <v>4</v>
      </c>
      <c r="D250">
        <v>9</v>
      </c>
      <c r="E250">
        <v>9</v>
      </c>
      <c r="F250" t="s">
        <v>59</v>
      </c>
      <c r="G250">
        <f t="shared" si="31"/>
        <v>2</v>
      </c>
      <c r="H250">
        <f t="shared" si="25"/>
        <v>0</v>
      </c>
      <c r="I250">
        <f t="shared" si="26"/>
        <v>2</v>
      </c>
      <c r="J250">
        <f t="shared" si="28"/>
        <v>0</v>
      </c>
      <c r="K250">
        <f t="shared" si="29"/>
        <v>0</v>
      </c>
      <c r="L250">
        <f t="shared" si="27"/>
        <v>0</v>
      </c>
    </row>
    <row r="251" spans="1:12" x14ac:dyDescent="0.25">
      <c r="A251">
        <v>13</v>
      </c>
      <c r="B251" s="1">
        <v>45389</v>
      </c>
      <c r="C251" t="s">
        <v>4</v>
      </c>
      <c r="D251">
        <v>10</v>
      </c>
      <c r="E251">
        <v>11</v>
      </c>
      <c r="F251" t="s">
        <v>19</v>
      </c>
      <c r="G251">
        <f t="shared" si="31"/>
        <v>1</v>
      </c>
      <c r="H251">
        <f t="shared" si="25"/>
        <v>0</v>
      </c>
      <c r="I251">
        <f t="shared" si="26"/>
        <v>1</v>
      </c>
      <c r="J251">
        <f t="shared" si="28"/>
        <v>0</v>
      </c>
      <c r="K251">
        <f t="shared" si="29"/>
        <v>0</v>
      </c>
      <c r="L251">
        <f t="shared" si="27"/>
        <v>-1</v>
      </c>
    </row>
    <row r="252" spans="1:12" x14ac:dyDescent="0.25">
      <c r="A252">
        <v>13</v>
      </c>
      <c r="B252" s="1">
        <v>45389</v>
      </c>
      <c r="C252" t="s">
        <v>29</v>
      </c>
      <c r="D252">
        <v>1</v>
      </c>
      <c r="E252">
        <v>1</v>
      </c>
      <c r="F252" t="s">
        <v>60</v>
      </c>
      <c r="G252">
        <f t="shared" si="31"/>
        <v>10</v>
      </c>
      <c r="H252">
        <f t="shared" si="25"/>
        <v>9</v>
      </c>
      <c r="I252">
        <f t="shared" si="26"/>
        <v>19</v>
      </c>
      <c r="J252">
        <f t="shared" si="28"/>
        <v>1</v>
      </c>
      <c r="K252">
        <f t="shared" si="29"/>
        <v>1</v>
      </c>
      <c r="L252">
        <f t="shared" si="27"/>
        <v>0</v>
      </c>
    </row>
    <row r="253" spans="1:12" x14ac:dyDescent="0.25">
      <c r="A253">
        <v>13</v>
      </c>
      <c r="B253" s="1">
        <v>45389</v>
      </c>
      <c r="C253" t="s">
        <v>29</v>
      </c>
      <c r="D253">
        <v>2</v>
      </c>
      <c r="E253">
        <v>2</v>
      </c>
      <c r="F253" t="s">
        <v>51</v>
      </c>
      <c r="G253">
        <f t="shared" si="31"/>
        <v>9</v>
      </c>
      <c r="H253">
        <f t="shared" si="25"/>
        <v>7</v>
      </c>
      <c r="I253">
        <f t="shared" si="26"/>
        <v>16</v>
      </c>
      <c r="J253">
        <f t="shared" si="28"/>
        <v>0</v>
      </c>
      <c r="K253">
        <f t="shared" si="29"/>
        <v>1</v>
      </c>
      <c r="L253">
        <f t="shared" si="27"/>
        <v>0</v>
      </c>
    </row>
    <row r="254" spans="1:12" x14ac:dyDescent="0.25">
      <c r="A254">
        <v>13</v>
      </c>
      <c r="B254" s="1">
        <v>45389</v>
      </c>
      <c r="C254" t="s">
        <v>29</v>
      </c>
      <c r="D254">
        <v>3</v>
      </c>
      <c r="E254">
        <v>3</v>
      </c>
      <c r="F254" t="s">
        <v>61</v>
      </c>
      <c r="G254">
        <f t="shared" si="31"/>
        <v>8</v>
      </c>
      <c r="H254">
        <f t="shared" si="25"/>
        <v>5</v>
      </c>
      <c r="I254">
        <f t="shared" si="26"/>
        <v>13</v>
      </c>
      <c r="J254">
        <f t="shared" si="28"/>
        <v>0</v>
      </c>
      <c r="K254">
        <f t="shared" si="29"/>
        <v>1</v>
      </c>
      <c r="L254">
        <f t="shared" si="27"/>
        <v>0</v>
      </c>
    </row>
    <row r="255" spans="1:12" x14ac:dyDescent="0.25">
      <c r="A255">
        <v>13</v>
      </c>
      <c r="B255" s="1">
        <v>45389</v>
      </c>
      <c r="C255" t="s">
        <v>29</v>
      </c>
      <c r="D255">
        <v>4</v>
      </c>
      <c r="E255">
        <v>11</v>
      </c>
      <c r="F255" t="s">
        <v>36</v>
      </c>
      <c r="G255">
        <f t="shared" si="31"/>
        <v>7</v>
      </c>
      <c r="H255">
        <f t="shared" si="25"/>
        <v>3</v>
      </c>
      <c r="I255">
        <f t="shared" si="26"/>
        <v>10</v>
      </c>
      <c r="J255">
        <f t="shared" si="28"/>
        <v>0</v>
      </c>
      <c r="K255">
        <f t="shared" si="29"/>
        <v>0</v>
      </c>
      <c r="L255">
        <f t="shared" si="27"/>
        <v>-7</v>
      </c>
    </row>
    <row r="256" spans="1:12" x14ac:dyDescent="0.25">
      <c r="A256">
        <v>13</v>
      </c>
      <c r="B256" s="1">
        <v>45389</v>
      </c>
      <c r="C256" t="s">
        <v>29</v>
      </c>
      <c r="D256">
        <v>5</v>
      </c>
      <c r="E256">
        <v>6</v>
      </c>
      <c r="F256" t="s">
        <v>64</v>
      </c>
      <c r="G256">
        <f t="shared" si="31"/>
        <v>6</v>
      </c>
      <c r="H256">
        <f t="shared" si="25"/>
        <v>1</v>
      </c>
      <c r="I256">
        <f t="shared" si="26"/>
        <v>7</v>
      </c>
      <c r="J256">
        <f t="shared" si="28"/>
        <v>0</v>
      </c>
      <c r="K256">
        <f t="shared" si="29"/>
        <v>0</v>
      </c>
      <c r="L256">
        <f t="shared" si="27"/>
        <v>-1</v>
      </c>
    </row>
    <row r="257" spans="1:12" x14ac:dyDescent="0.25">
      <c r="A257">
        <v>13</v>
      </c>
      <c r="B257" s="1">
        <v>45389</v>
      </c>
      <c r="C257" t="s">
        <v>29</v>
      </c>
      <c r="D257">
        <v>6</v>
      </c>
      <c r="E257">
        <v>4</v>
      </c>
      <c r="F257" t="s">
        <v>62</v>
      </c>
      <c r="G257">
        <f t="shared" si="31"/>
        <v>5</v>
      </c>
      <c r="H257">
        <f t="shared" si="25"/>
        <v>0</v>
      </c>
      <c r="I257">
        <f t="shared" si="26"/>
        <v>5</v>
      </c>
      <c r="J257">
        <f t="shared" si="28"/>
        <v>0</v>
      </c>
      <c r="K257">
        <f t="shared" si="29"/>
        <v>0</v>
      </c>
      <c r="L257">
        <f t="shared" si="27"/>
        <v>2</v>
      </c>
    </row>
    <row r="258" spans="1:12" x14ac:dyDescent="0.25">
      <c r="A258">
        <v>13</v>
      </c>
      <c r="B258" s="1">
        <v>45389</v>
      </c>
      <c r="C258" t="s">
        <v>29</v>
      </c>
      <c r="D258">
        <v>7</v>
      </c>
      <c r="E258">
        <v>7</v>
      </c>
      <c r="F258" t="s">
        <v>65</v>
      </c>
      <c r="G258">
        <f t="shared" si="31"/>
        <v>4</v>
      </c>
      <c r="H258">
        <f t="shared" si="25"/>
        <v>0</v>
      </c>
      <c r="I258">
        <f t="shared" si="26"/>
        <v>4</v>
      </c>
      <c r="J258">
        <f t="shared" si="28"/>
        <v>0</v>
      </c>
      <c r="K258">
        <f t="shared" si="29"/>
        <v>0</v>
      </c>
      <c r="L258">
        <f t="shared" si="27"/>
        <v>0</v>
      </c>
    </row>
    <row r="259" spans="1:12" x14ac:dyDescent="0.25">
      <c r="A259">
        <v>13</v>
      </c>
      <c r="B259" s="1">
        <v>45389</v>
      </c>
      <c r="C259" t="s">
        <v>29</v>
      </c>
      <c r="D259">
        <v>8</v>
      </c>
      <c r="E259">
        <v>11</v>
      </c>
      <c r="F259" t="s">
        <v>44</v>
      </c>
      <c r="G259">
        <f t="shared" si="31"/>
        <v>3</v>
      </c>
      <c r="H259">
        <f t="shared" ref="H259:H322" si="32">IF(D259&lt;6,11-2*D259,0)</f>
        <v>0</v>
      </c>
      <c r="I259">
        <f t="shared" ref="I259:I322" si="33">G259+H259</f>
        <v>3</v>
      </c>
      <c r="J259">
        <f t="shared" si="28"/>
        <v>0</v>
      </c>
      <c r="K259">
        <f t="shared" si="29"/>
        <v>0</v>
      </c>
      <c r="L259">
        <f t="shared" ref="L259:L322" si="34">D259-E259</f>
        <v>-3</v>
      </c>
    </row>
    <row r="260" spans="1:12" x14ac:dyDescent="0.25">
      <c r="A260">
        <v>13</v>
      </c>
      <c r="B260" s="1">
        <v>45389</v>
      </c>
      <c r="C260" t="s">
        <v>29</v>
      </c>
      <c r="D260">
        <v>9</v>
      </c>
      <c r="E260">
        <v>8</v>
      </c>
      <c r="F260" t="s">
        <v>66</v>
      </c>
      <c r="G260">
        <f t="shared" si="31"/>
        <v>2</v>
      </c>
      <c r="H260">
        <f t="shared" si="32"/>
        <v>0</v>
      </c>
      <c r="I260">
        <f t="shared" si="33"/>
        <v>2</v>
      </c>
      <c r="J260">
        <f t="shared" si="28"/>
        <v>0</v>
      </c>
      <c r="K260">
        <f t="shared" si="29"/>
        <v>0</v>
      </c>
      <c r="L260">
        <f t="shared" si="34"/>
        <v>1</v>
      </c>
    </row>
    <row r="261" spans="1:12" x14ac:dyDescent="0.25">
      <c r="A261">
        <v>13</v>
      </c>
      <c r="B261" s="1">
        <v>45389</v>
      </c>
      <c r="C261" t="s">
        <v>29</v>
      </c>
      <c r="D261">
        <v>10</v>
      </c>
      <c r="E261">
        <v>11</v>
      </c>
      <c r="F261" t="s">
        <v>48</v>
      </c>
      <c r="G261">
        <f t="shared" si="31"/>
        <v>1</v>
      </c>
      <c r="H261">
        <f t="shared" si="32"/>
        <v>0</v>
      </c>
      <c r="I261">
        <f t="shared" si="33"/>
        <v>1</v>
      </c>
      <c r="J261">
        <f t="shared" si="28"/>
        <v>0</v>
      </c>
      <c r="K261">
        <f t="shared" si="29"/>
        <v>0</v>
      </c>
      <c r="L261">
        <f t="shared" si="34"/>
        <v>-1</v>
      </c>
    </row>
    <row r="262" spans="1:12" x14ac:dyDescent="0.25">
      <c r="A262">
        <v>14</v>
      </c>
      <c r="B262" s="1">
        <v>45396</v>
      </c>
      <c r="C262" t="s">
        <v>4</v>
      </c>
      <c r="D262">
        <v>1</v>
      </c>
      <c r="E262">
        <v>1</v>
      </c>
      <c r="F262" t="s">
        <v>26</v>
      </c>
      <c r="G262">
        <f t="shared" ref="G262:G281" si="35">11-D262</f>
        <v>10</v>
      </c>
      <c r="H262">
        <f t="shared" si="32"/>
        <v>9</v>
      </c>
      <c r="I262">
        <f t="shared" si="33"/>
        <v>19</v>
      </c>
      <c r="J262">
        <f t="shared" si="28"/>
        <v>1</v>
      </c>
      <c r="K262">
        <f t="shared" si="29"/>
        <v>1</v>
      </c>
      <c r="L262">
        <f t="shared" si="34"/>
        <v>0</v>
      </c>
    </row>
    <row r="263" spans="1:12" x14ac:dyDescent="0.25">
      <c r="A263">
        <v>14</v>
      </c>
      <c r="B263" s="1">
        <v>45396</v>
      </c>
      <c r="C263" t="s">
        <v>4</v>
      </c>
      <c r="D263">
        <v>2</v>
      </c>
      <c r="E263">
        <v>2</v>
      </c>
      <c r="F263" t="s">
        <v>54</v>
      </c>
      <c r="G263">
        <f t="shared" si="35"/>
        <v>9</v>
      </c>
      <c r="H263">
        <f t="shared" si="32"/>
        <v>7</v>
      </c>
      <c r="I263">
        <f t="shared" si="33"/>
        <v>16</v>
      </c>
      <c r="J263">
        <f t="shared" si="28"/>
        <v>0</v>
      </c>
      <c r="K263">
        <f t="shared" si="29"/>
        <v>1</v>
      </c>
      <c r="L263">
        <f t="shared" si="34"/>
        <v>0</v>
      </c>
    </row>
    <row r="264" spans="1:12" x14ac:dyDescent="0.25">
      <c r="A264">
        <v>14</v>
      </c>
      <c r="B264" s="1">
        <v>45396</v>
      </c>
      <c r="C264" t="s">
        <v>4</v>
      </c>
      <c r="D264">
        <v>3</v>
      </c>
      <c r="E264">
        <v>3</v>
      </c>
      <c r="F264" t="s">
        <v>21</v>
      </c>
      <c r="G264">
        <f t="shared" si="35"/>
        <v>8</v>
      </c>
      <c r="H264">
        <f t="shared" si="32"/>
        <v>5</v>
      </c>
      <c r="I264">
        <f t="shared" si="33"/>
        <v>13</v>
      </c>
      <c r="J264">
        <f t="shared" si="28"/>
        <v>0</v>
      </c>
      <c r="K264">
        <f t="shared" si="29"/>
        <v>1</v>
      </c>
      <c r="L264">
        <f t="shared" si="34"/>
        <v>0</v>
      </c>
    </row>
    <row r="265" spans="1:12" x14ac:dyDescent="0.25">
      <c r="A265">
        <v>14</v>
      </c>
      <c r="B265" s="1">
        <v>45396</v>
      </c>
      <c r="C265" t="s">
        <v>4</v>
      </c>
      <c r="D265">
        <v>4</v>
      </c>
      <c r="E265">
        <v>4</v>
      </c>
      <c r="F265" t="s">
        <v>20</v>
      </c>
      <c r="G265">
        <f t="shared" si="35"/>
        <v>7</v>
      </c>
      <c r="H265">
        <f t="shared" si="32"/>
        <v>3</v>
      </c>
      <c r="I265">
        <f t="shared" si="33"/>
        <v>10</v>
      </c>
      <c r="J265">
        <f t="shared" si="28"/>
        <v>0</v>
      </c>
      <c r="K265">
        <f t="shared" si="29"/>
        <v>0</v>
      </c>
      <c r="L265">
        <f t="shared" si="34"/>
        <v>0</v>
      </c>
    </row>
    <row r="266" spans="1:12" x14ac:dyDescent="0.25">
      <c r="A266">
        <v>14</v>
      </c>
      <c r="B266" s="1">
        <v>45396</v>
      </c>
      <c r="C266" t="s">
        <v>4</v>
      </c>
      <c r="D266">
        <v>5</v>
      </c>
      <c r="E266">
        <v>11</v>
      </c>
      <c r="F266" t="s">
        <v>22</v>
      </c>
      <c r="G266">
        <f t="shared" si="35"/>
        <v>6</v>
      </c>
      <c r="H266">
        <f t="shared" si="32"/>
        <v>1</v>
      </c>
      <c r="I266">
        <f t="shared" si="33"/>
        <v>7</v>
      </c>
      <c r="J266">
        <f t="shared" si="28"/>
        <v>0</v>
      </c>
      <c r="K266">
        <f t="shared" si="29"/>
        <v>0</v>
      </c>
      <c r="L266">
        <f t="shared" si="34"/>
        <v>-6</v>
      </c>
    </row>
    <row r="267" spans="1:12" x14ac:dyDescent="0.25">
      <c r="A267">
        <v>14</v>
      </c>
      <c r="B267" s="1">
        <v>45396</v>
      </c>
      <c r="C267" t="s">
        <v>4</v>
      </c>
      <c r="D267">
        <v>6</v>
      </c>
      <c r="E267">
        <v>10</v>
      </c>
      <c r="F267" t="s">
        <v>19</v>
      </c>
      <c r="G267">
        <f t="shared" si="35"/>
        <v>5</v>
      </c>
      <c r="H267">
        <f t="shared" si="32"/>
        <v>0</v>
      </c>
      <c r="I267">
        <f t="shared" si="33"/>
        <v>5</v>
      </c>
      <c r="J267">
        <f t="shared" si="28"/>
        <v>0</v>
      </c>
      <c r="K267">
        <f t="shared" si="29"/>
        <v>0</v>
      </c>
      <c r="L267">
        <f t="shared" si="34"/>
        <v>-4</v>
      </c>
    </row>
    <row r="268" spans="1:12" x14ac:dyDescent="0.25">
      <c r="A268">
        <v>14</v>
      </c>
      <c r="B268" s="1">
        <v>45396</v>
      </c>
      <c r="C268" t="s">
        <v>4</v>
      </c>
      <c r="D268">
        <v>7</v>
      </c>
      <c r="E268">
        <v>6</v>
      </c>
      <c r="F268" t="s">
        <v>56</v>
      </c>
      <c r="G268">
        <f t="shared" si="35"/>
        <v>4</v>
      </c>
      <c r="H268">
        <f t="shared" si="32"/>
        <v>0</v>
      </c>
      <c r="I268">
        <f t="shared" si="33"/>
        <v>4</v>
      </c>
      <c r="J268">
        <f t="shared" si="28"/>
        <v>0</v>
      </c>
      <c r="K268">
        <f t="shared" si="29"/>
        <v>0</v>
      </c>
      <c r="L268">
        <f t="shared" si="34"/>
        <v>1</v>
      </c>
    </row>
    <row r="269" spans="1:12" x14ac:dyDescent="0.25">
      <c r="A269">
        <v>14</v>
      </c>
      <c r="B269" s="1">
        <v>45396</v>
      </c>
      <c r="C269" t="s">
        <v>4</v>
      </c>
      <c r="D269">
        <v>8</v>
      </c>
      <c r="E269">
        <v>8</v>
      </c>
      <c r="F269" t="s">
        <v>27</v>
      </c>
      <c r="G269">
        <f t="shared" si="35"/>
        <v>3</v>
      </c>
      <c r="H269">
        <f t="shared" si="32"/>
        <v>0</v>
      </c>
      <c r="I269">
        <f t="shared" si="33"/>
        <v>3</v>
      </c>
      <c r="J269">
        <f t="shared" ref="J269:J332" si="36">COUNTIF(D269,"=1")</f>
        <v>0</v>
      </c>
      <c r="K269">
        <f t="shared" ref="K269:K332" si="37">COUNTIF(D269,"&lt;4")</f>
        <v>0</v>
      </c>
      <c r="L269">
        <f t="shared" si="34"/>
        <v>0</v>
      </c>
    </row>
    <row r="270" spans="1:12" x14ac:dyDescent="0.25">
      <c r="A270">
        <v>14</v>
      </c>
      <c r="B270" s="1">
        <v>45396</v>
      </c>
      <c r="C270" t="s">
        <v>4</v>
      </c>
      <c r="D270">
        <v>9</v>
      </c>
      <c r="E270">
        <v>9</v>
      </c>
      <c r="F270" t="s">
        <v>59</v>
      </c>
      <c r="G270">
        <f t="shared" si="35"/>
        <v>2</v>
      </c>
      <c r="H270">
        <f t="shared" si="32"/>
        <v>0</v>
      </c>
      <c r="I270">
        <f t="shared" si="33"/>
        <v>2</v>
      </c>
      <c r="J270">
        <f t="shared" si="36"/>
        <v>0</v>
      </c>
      <c r="K270">
        <f t="shared" si="37"/>
        <v>0</v>
      </c>
      <c r="L270">
        <f t="shared" si="34"/>
        <v>0</v>
      </c>
    </row>
    <row r="271" spans="1:12" x14ac:dyDescent="0.25">
      <c r="A271">
        <v>14</v>
      </c>
      <c r="B271" s="1">
        <v>45396</v>
      </c>
      <c r="C271" t="s">
        <v>4</v>
      </c>
      <c r="D271">
        <v>10</v>
      </c>
      <c r="E271">
        <v>7</v>
      </c>
      <c r="F271" t="s">
        <v>57</v>
      </c>
      <c r="G271">
        <f t="shared" si="35"/>
        <v>1</v>
      </c>
      <c r="H271">
        <f t="shared" si="32"/>
        <v>0</v>
      </c>
      <c r="I271">
        <f t="shared" si="33"/>
        <v>1</v>
      </c>
      <c r="J271">
        <f t="shared" si="36"/>
        <v>0</v>
      </c>
      <c r="K271">
        <f t="shared" si="37"/>
        <v>0</v>
      </c>
      <c r="L271">
        <f t="shared" si="34"/>
        <v>3</v>
      </c>
    </row>
    <row r="272" spans="1:12" x14ac:dyDescent="0.25">
      <c r="A272">
        <v>14</v>
      </c>
      <c r="B272" s="1">
        <v>45396</v>
      </c>
      <c r="C272" t="s">
        <v>29</v>
      </c>
      <c r="D272">
        <v>1</v>
      </c>
      <c r="E272">
        <v>1</v>
      </c>
      <c r="F272" t="s">
        <v>60</v>
      </c>
      <c r="G272">
        <f t="shared" si="35"/>
        <v>10</v>
      </c>
      <c r="H272">
        <f t="shared" si="32"/>
        <v>9</v>
      </c>
      <c r="I272">
        <f t="shared" si="33"/>
        <v>19</v>
      </c>
      <c r="J272">
        <f t="shared" si="36"/>
        <v>1</v>
      </c>
      <c r="K272">
        <f t="shared" si="37"/>
        <v>1</v>
      </c>
      <c r="L272">
        <f t="shared" si="34"/>
        <v>0</v>
      </c>
    </row>
    <row r="273" spans="1:12" x14ac:dyDescent="0.25">
      <c r="A273">
        <v>14</v>
      </c>
      <c r="B273" s="1">
        <v>45396</v>
      </c>
      <c r="C273" t="s">
        <v>29</v>
      </c>
      <c r="D273">
        <v>2</v>
      </c>
      <c r="E273">
        <v>11</v>
      </c>
      <c r="F273" t="s">
        <v>49</v>
      </c>
      <c r="G273">
        <f t="shared" si="35"/>
        <v>9</v>
      </c>
      <c r="H273">
        <f t="shared" si="32"/>
        <v>7</v>
      </c>
      <c r="I273">
        <f t="shared" si="33"/>
        <v>16</v>
      </c>
      <c r="J273">
        <f t="shared" si="36"/>
        <v>0</v>
      </c>
      <c r="K273">
        <f t="shared" si="37"/>
        <v>1</v>
      </c>
      <c r="L273">
        <f t="shared" si="34"/>
        <v>-9</v>
      </c>
    </row>
    <row r="274" spans="1:12" x14ac:dyDescent="0.25">
      <c r="A274">
        <v>14</v>
      </c>
      <c r="B274" s="1">
        <v>45396</v>
      </c>
      <c r="C274" t="s">
        <v>29</v>
      </c>
      <c r="D274">
        <v>3</v>
      </c>
      <c r="E274">
        <v>2</v>
      </c>
      <c r="F274" t="s">
        <v>51</v>
      </c>
      <c r="G274">
        <f t="shared" si="35"/>
        <v>8</v>
      </c>
      <c r="H274">
        <f t="shared" si="32"/>
        <v>5</v>
      </c>
      <c r="I274">
        <f t="shared" si="33"/>
        <v>13</v>
      </c>
      <c r="J274">
        <f t="shared" si="36"/>
        <v>0</v>
      </c>
      <c r="K274">
        <f t="shared" si="37"/>
        <v>1</v>
      </c>
      <c r="L274">
        <f t="shared" si="34"/>
        <v>1</v>
      </c>
    </row>
    <row r="275" spans="1:12" x14ac:dyDescent="0.25">
      <c r="A275">
        <v>14</v>
      </c>
      <c r="B275" s="1">
        <v>45396</v>
      </c>
      <c r="C275" t="s">
        <v>29</v>
      </c>
      <c r="D275">
        <v>4</v>
      </c>
      <c r="E275">
        <v>3</v>
      </c>
      <c r="F275" t="s">
        <v>61</v>
      </c>
      <c r="G275">
        <f t="shared" si="35"/>
        <v>7</v>
      </c>
      <c r="H275">
        <f t="shared" si="32"/>
        <v>3</v>
      </c>
      <c r="I275">
        <f t="shared" si="33"/>
        <v>10</v>
      </c>
      <c r="J275">
        <f t="shared" si="36"/>
        <v>0</v>
      </c>
      <c r="K275">
        <f t="shared" si="37"/>
        <v>0</v>
      </c>
      <c r="L275">
        <f t="shared" si="34"/>
        <v>1</v>
      </c>
    </row>
    <row r="276" spans="1:12" x14ac:dyDescent="0.25">
      <c r="A276">
        <v>14</v>
      </c>
      <c r="B276" s="1">
        <v>45396</v>
      </c>
      <c r="C276" t="s">
        <v>29</v>
      </c>
      <c r="D276">
        <v>5</v>
      </c>
      <c r="E276">
        <v>5</v>
      </c>
      <c r="F276" t="s">
        <v>64</v>
      </c>
      <c r="G276">
        <f t="shared" si="35"/>
        <v>6</v>
      </c>
      <c r="H276">
        <f t="shared" si="32"/>
        <v>1</v>
      </c>
      <c r="I276">
        <f t="shared" si="33"/>
        <v>7</v>
      </c>
      <c r="J276">
        <f t="shared" si="36"/>
        <v>0</v>
      </c>
      <c r="K276">
        <f t="shared" si="37"/>
        <v>0</v>
      </c>
      <c r="L276">
        <f t="shared" si="34"/>
        <v>0</v>
      </c>
    </row>
    <row r="277" spans="1:12" x14ac:dyDescent="0.25">
      <c r="A277">
        <v>14</v>
      </c>
      <c r="B277" s="1">
        <v>45396</v>
      </c>
      <c r="C277" t="s">
        <v>29</v>
      </c>
      <c r="D277">
        <v>6</v>
      </c>
      <c r="E277">
        <v>9</v>
      </c>
      <c r="F277" t="s">
        <v>50</v>
      </c>
      <c r="G277">
        <f t="shared" si="35"/>
        <v>5</v>
      </c>
      <c r="H277">
        <f t="shared" si="32"/>
        <v>0</v>
      </c>
      <c r="I277">
        <f t="shared" si="33"/>
        <v>5</v>
      </c>
      <c r="J277">
        <f t="shared" si="36"/>
        <v>0</v>
      </c>
      <c r="K277">
        <f t="shared" si="37"/>
        <v>0</v>
      </c>
      <c r="L277">
        <f t="shared" si="34"/>
        <v>-3</v>
      </c>
    </row>
    <row r="278" spans="1:12" x14ac:dyDescent="0.25">
      <c r="A278">
        <v>14</v>
      </c>
      <c r="B278" s="1">
        <v>45396</v>
      </c>
      <c r="C278" t="s">
        <v>29</v>
      </c>
      <c r="D278">
        <v>7</v>
      </c>
      <c r="E278">
        <v>7</v>
      </c>
      <c r="F278" t="s">
        <v>65</v>
      </c>
      <c r="G278">
        <f t="shared" si="35"/>
        <v>4</v>
      </c>
      <c r="H278">
        <f t="shared" si="32"/>
        <v>0</v>
      </c>
      <c r="I278">
        <f t="shared" si="33"/>
        <v>4</v>
      </c>
      <c r="J278">
        <f t="shared" si="36"/>
        <v>0</v>
      </c>
      <c r="K278">
        <f t="shared" si="37"/>
        <v>0</v>
      </c>
      <c r="L278">
        <f t="shared" si="34"/>
        <v>0</v>
      </c>
    </row>
    <row r="279" spans="1:12" x14ac:dyDescent="0.25">
      <c r="A279">
        <v>14</v>
      </c>
      <c r="B279" s="1">
        <v>45396</v>
      </c>
      <c r="C279" t="s">
        <v>29</v>
      </c>
      <c r="D279">
        <v>8</v>
      </c>
      <c r="E279">
        <v>8</v>
      </c>
      <c r="F279" t="s">
        <v>44</v>
      </c>
      <c r="G279">
        <f t="shared" si="35"/>
        <v>3</v>
      </c>
      <c r="H279">
        <f t="shared" si="32"/>
        <v>0</v>
      </c>
      <c r="I279">
        <f t="shared" si="33"/>
        <v>3</v>
      </c>
      <c r="J279">
        <f t="shared" si="36"/>
        <v>0</v>
      </c>
      <c r="K279">
        <f t="shared" si="37"/>
        <v>0</v>
      </c>
      <c r="L279">
        <f t="shared" si="34"/>
        <v>0</v>
      </c>
    </row>
    <row r="280" spans="1:12" x14ac:dyDescent="0.25">
      <c r="A280">
        <v>14</v>
      </c>
      <c r="B280" s="1">
        <v>45396</v>
      </c>
      <c r="C280" t="s">
        <v>29</v>
      </c>
      <c r="D280">
        <v>9</v>
      </c>
      <c r="E280">
        <v>6</v>
      </c>
      <c r="F280" t="s">
        <v>62</v>
      </c>
      <c r="G280">
        <f t="shared" si="35"/>
        <v>2</v>
      </c>
      <c r="H280">
        <f t="shared" si="32"/>
        <v>0</v>
      </c>
      <c r="I280">
        <f t="shared" si="33"/>
        <v>2</v>
      </c>
      <c r="J280">
        <f t="shared" si="36"/>
        <v>0</v>
      </c>
      <c r="K280">
        <f t="shared" si="37"/>
        <v>0</v>
      </c>
      <c r="L280">
        <f t="shared" si="34"/>
        <v>3</v>
      </c>
    </row>
    <row r="281" spans="1:12" x14ac:dyDescent="0.25">
      <c r="A281">
        <v>14</v>
      </c>
      <c r="B281" s="1">
        <v>45396</v>
      </c>
      <c r="C281" t="s">
        <v>29</v>
      </c>
      <c r="D281">
        <v>10</v>
      </c>
      <c r="E281">
        <v>9</v>
      </c>
      <c r="F281" t="s">
        <v>66</v>
      </c>
      <c r="G281">
        <f t="shared" si="35"/>
        <v>1</v>
      </c>
      <c r="H281">
        <f t="shared" si="32"/>
        <v>0</v>
      </c>
      <c r="I281">
        <f t="shared" si="33"/>
        <v>1</v>
      </c>
      <c r="J281">
        <f t="shared" si="36"/>
        <v>0</v>
      </c>
      <c r="K281">
        <f t="shared" si="37"/>
        <v>0</v>
      </c>
      <c r="L281">
        <f t="shared" si="34"/>
        <v>1</v>
      </c>
    </row>
    <row r="282" spans="1:12" x14ac:dyDescent="0.25">
      <c r="A282">
        <v>15</v>
      </c>
      <c r="B282" s="1">
        <v>45403</v>
      </c>
      <c r="C282" t="s">
        <v>4</v>
      </c>
      <c r="D282">
        <v>1</v>
      </c>
      <c r="E282">
        <v>3</v>
      </c>
      <c r="F282" t="s">
        <v>21</v>
      </c>
      <c r="G282">
        <f t="shared" ref="G282:G301" si="38">11-D282</f>
        <v>10</v>
      </c>
      <c r="H282">
        <f t="shared" si="32"/>
        <v>9</v>
      </c>
      <c r="I282">
        <f t="shared" si="33"/>
        <v>19</v>
      </c>
      <c r="J282">
        <f t="shared" si="36"/>
        <v>1</v>
      </c>
      <c r="K282">
        <f t="shared" si="37"/>
        <v>1</v>
      </c>
      <c r="L282">
        <f t="shared" si="34"/>
        <v>-2</v>
      </c>
    </row>
    <row r="283" spans="1:12" x14ac:dyDescent="0.25">
      <c r="A283">
        <v>15</v>
      </c>
      <c r="B283" s="1">
        <v>45403</v>
      </c>
      <c r="C283" t="s">
        <v>4</v>
      </c>
      <c r="D283">
        <v>2</v>
      </c>
      <c r="E283">
        <v>1</v>
      </c>
      <c r="F283" t="s">
        <v>26</v>
      </c>
      <c r="G283">
        <f t="shared" si="38"/>
        <v>9</v>
      </c>
      <c r="H283">
        <f t="shared" si="32"/>
        <v>7</v>
      </c>
      <c r="I283">
        <f t="shared" si="33"/>
        <v>16</v>
      </c>
      <c r="J283">
        <f t="shared" si="36"/>
        <v>0</v>
      </c>
      <c r="K283">
        <f t="shared" si="37"/>
        <v>1</v>
      </c>
      <c r="L283">
        <f t="shared" si="34"/>
        <v>1</v>
      </c>
    </row>
    <row r="284" spans="1:12" x14ac:dyDescent="0.25">
      <c r="A284">
        <v>15</v>
      </c>
      <c r="B284" s="1">
        <v>45403</v>
      </c>
      <c r="C284" t="s">
        <v>4</v>
      </c>
      <c r="D284">
        <v>3</v>
      </c>
      <c r="E284">
        <v>2</v>
      </c>
      <c r="F284" t="s">
        <v>54</v>
      </c>
      <c r="G284">
        <f t="shared" si="38"/>
        <v>8</v>
      </c>
      <c r="H284">
        <f t="shared" si="32"/>
        <v>5</v>
      </c>
      <c r="I284">
        <f t="shared" si="33"/>
        <v>13</v>
      </c>
      <c r="J284">
        <f t="shared" si="36"/>
        <v>0</v>
      </c>
      <c r="K284">
        <f t="shared" si="37"/>
        <v>1</v>
      </c>
      <c r="L284">
        <f t="shared" si="34"/>
        <v>1</v>
      </c>
    </row>
    <row r="285" spans="1:12" x14ac:dyDescent="0.25">
      <c r="A285">
        <v>15</v>
      </c>
      <c r="B285" s="1">
        <v>45403</v>
      </c>
      <c r="C285" t="s">
        <v>4</v>
      </c>
      <c r="D285">
        <v>4</v>
      </c>
      <c r="E285">
        <v>6</v>
      </c>
      <c r="F285" t="s">
        <v>19</v>
      </c>
      <c r="G285">
        <f t="shared" si="38"/>
        <v>7</v>
      </c>
      <c r="H285">
        <f t="shared" si="32"/>
        <v>3</v>
      </c>
      <c r="I285">
        <f t="shared" si="33"/>
        <v>10</v>
      </c>
      <c r="J285">
        <f t="shared" si="36"/>
        <v>0</v>
      </c>
      <c r="K285">
        <f t="shared" si="37"/>
        <v>0</v>
      </c>
      <c r="L285">
        <f t="shared" si="34"/>
        <v>-2</v>
      </c>
    </row>
    <row r="286" spans="1:12" x14ac:dyDescent="0.25">
      <c r="A286">
        <v>15</v>
      </c>
      <c r="B286" s="1">
        <v>45403</v>
      </c>
      <c r="C286" t="s">
        <v>4</v>
      </c>
      <c r="D286">
        <v>5</v>
      </c>
      <c r="E286">
        <v>5</v>
      </c>
      <c r="F286" t="s">
        <v>22</v>
      </c>
      <c r="G286">
        <f t="shared" si="38"/>
        <v>6</v>
      </c>
      <c r="H286">
        <f t="shared" si="32"/>
        <v>1</v>
      </c>
      <c r="I286">
        <f t="shared" si="33"/>
        <v>7</v>
      </c>
      <c r="J286">
        <f t="shared" si="36"/>
        <v>0</v>
      </c>
      <c r="K286">
        <f t="shared" si="37"/>
        <v>0</v>
      </c>
      <c r="L286">
        <f t="shared" si="34"/>
        <v>0</v>
      </c>
    </row>
    <row r="287" spans="1:12" x14ac:dyDescent="0.25">
      <c r="A287">
        <v>15</v>
      </c>
      <c r="B287" s="1">
        <v>45403</v>
      </c>
      <c r="C287" t="s">
        <v>4</v>
      </c>
      <c r="D287">
        <v>6</v>
      </c>
      <c r="E287">
        <v>10</v>
      </c>
      <c r="F287" t="s">
        <v>25</v>
      </c>
      <c r="G287">
        <f t="shared" si="38"/>
        <v>5</v>
      </c>
      <c r="H287">
        <f t="shared" si="32"/>
        <v>0</v>
      </c>
      <c r="I287">
        <f t="shared" si="33"/>
        <v>5</v>
      </c>
      <c r="J287">
        <f t="shared" si="36"/>
        <v>0</v>
      </c>
      <c r="K287">
        <f t="shared" si="37"/>
        <v>0</v>
      </c>
      <c r="L287">
        <f t="shared" si="34"/>
        <v>-4</v>
      </c>
    </row>
    <row r="288" spans="1:12" x14ac:dyDescent="0.25">
      <c r="A288">
        <v>15</v>
      </c>
      <c r="B288" s="1">
        <v>45403</v>
      </c>
      <c r="C288" t="s">
        <v>4</v>
      </c>
      <c r="D288">
        <v>7</v>
      </c>
      <c r="E288">
        <v>7</v>
      </c>
      <c r="F288" t="s">
        <v>56</v>
      </c>
      <c r="G288">
        <f t="shared" si="38"/>
        <v>4</v>
      </c>
      <c r="H288">
        <f t="shared" si="32"/>
        <v>0</v>
      </c>
      <c r="I288">
        <f t="shared" si="33"/>
        <v>4</v>
      </c>
      <c r="J288">
        <f t="shared" si="36"/>
        <v>0</v>
      </c>
      <c r="K288">
        <f t="shared" si="37"/>
        <v>0</v>
      </c>
      <c r="L288">
        <f t="shared" si="34"/>
        <v>0</v>
      </c>
    </row>
    <row r="289" spans="1:12" x14ac:dyDescent="0.25">
      <c r="A289">
        <v>15</v>
      </c>
      <c r="B289" s="1">
        <v>45403</v>
      </c>
      <c r="C289" t="s">
        <v>4</v>
      </c>
      <c r="D289">
        <v>8</v>
      </c>
      <c r="E289">
        <v>8</v>
      </c>
      <c r="F289" t="s">
        <v>27</v>
      </c>
      <c r="G289">
        <f t="shared" si="38"/>
        <v>3</v>
      </c>
      <c r="H289">
        <f t="shared" si="32"/>
        <v>0</v>
      </c>
      <c r="I289">
        <f t="shared" si="33"/>
        <v>3</v>
      </c>
      <c r="J289">
        <f t="shared" si="36"/>
        <v>0</v>
      </c>
      <c r="K289">
        <f t="shared" si="37"/>
        <v>0</v>
      </c>
      <c r="L289">
        <f t="shared" si="34"/>
        <v>0</v>
      </c>
    </row>
    <row r="290" spans="1:12" x14ac:dyDescent="0.25">
      <c r="A290">
        <v>15</v>
      </c>
      <c r="B290" s="1">
        <v>45403</v>
      </c>
      <c r="C290" t="s">
        <v>4</v>
      </c>
      <c r="D290">
        <v>9</v>
      </c>
      <c r="E290">
        <v>9</v>
      </c>
      <c r="F290" t="s">
        <v>59</v>
      </c>
      <c r="G290">
        <f t="shared" si="38"/>
        <v>2</v>
      </c>
      <c r="H290">
        <f t="shared" si="32"/>
        <v>0</v>
      </c>
      <c r="I290">
        <f t="shared" si="33"/>
        <v>2</v>
      </c>
      <c r="J290">
        <f t="shared" si="36"/>
        <v>0</v>
      </c>
      <c r="K290">
        <f t="shared" si="37"/>
        <v>0</v>
      </c>
      <c r="L290">
        <f t="shared" si="34"/>
        <v>0</v>
      </c>
    </row>
    <row r="291" spans="1:12" x14ac:dyDescent="0.25">
      <c r="A291">
        <v>15</v>
      </c>
      <c r="B291" s="1">
        <v>45403</v>
      </c>
      <c r="C291" t="s">
        <v>4</v>
      </c>
      <c r="D291">
        <v>10</v>
      </c>
      <c r="E291">
        <v>11</v>
      </c>
      <c r="F291" t="s">
        <v>9</v>
      </c>
      <c r="G291">
        <f t="shared" si="38"/>
        <v>1</v>
      </c>
      <c r="H291">
        <f t="shared" si="32"/>
        <v>0</v>
      </c>
      <c r="I291">
        <f t="shared" si="33"/>
        <v>1</v>
      </c>
      <c r="J291">
        <f t="shared" si="36"/>
        <v>0</v>
      </c>
      <c r="K291">
        <f t="shared" si="37"/>
        <v>0</v>
      </c>
      <c r="L291">
        <f t="shared" si="34"/>
        <v>-1</v>
      </c>
    </row>
    <row r="292" spans="1:12" x14ac:dyDescent="0.25">
      <c r="A292">
        <v>15</v>
      </c>
      <c r="B292" s="1">
        <v>45403</v>
      </c>
      <c r="C292" t="s">
        <v>29</v>
      </c>
      <c r="D292">
        <v>1</v>
      </c>
      <c r="E292">
        <v>8</v>
      </c>
      <c r="F292" t="s">
        <v>44</v>
      </c>
      <c r="G292">
        <f t="shared" si="38"/>
        <v>10</v>
      </c>
      <c r="H292">
        <f t="shared" si="32"/>
        <v>9</v>
      </c>
      <c r="I292">
        <f t="shared" si="33"/>
        <v>19</v>
      </c>
      <c r="J292">
        <f t="shared" si="36"/>
        <v>1</v>
      </c>
      <c r="K292">
        <f t="shared" si="37"/>
        <v>1</v>
      </c>
      <c r="L292">
        <f t="shared" si="34"/>
        <v>-7</v>
      </c>
    </row>
    <row r="293" spans="1:12" x14ac:dyDescent="0.25">
      <c r="A293">
        <v>15</v>
      </c>
      <c r="B293" s="1">
        <v>45403</v>
      </c>
      <c r="C293" t="s">
        <v>29</v>
      </c>
      <c r="D293">
        <v>2</v>
      </c>
      <c r="E293">
        <v>2</v>
      </c>
      <c r="F293" t="s">
        <v>49</v>
      </c>
      <c r="G293">
        <f t="shared" si="38"/>
        <v>9</v>
      </c>
      <c r="H293">
        <f t="shared" si="32"/>
        <v>7</v>
      </c>
      <c r="I293">
        <f t="shared" si="33"/>
        <v>16</v>
      </c>
      <c r="J293">
        <f t="shared" si="36"/>
        <v>0</v>
      </c>
      <c r="K293">
        <f t="shared" si="37"/>
        <v>1</v>
      </c>
      <c r="L293">
        <f t="shared" si="34"/>
        <v>0</v>
      </c>
    </row>
    <row r="294" spans="1:12" x14ac:dyDescent="0.25">
      <c r="A294">
        <v>15</v>
      </c>
      <c r="B294" s="1">
        <v>45403</v>
      </c>
      <c r="C294" t="s">
        <v>29</v>
      </c>
      <c r="D294">
        <v>3</v>
      </c>
      <c r="E294">
        <v>1</v>
      </c>
      <c r="F294" t="s">
        <v>60</v>
      </c>
      <c r="G294">
        <f t="shared" si="38"/>
        <v>8</v>
      </c>
      <c r="H294">
        <f t="shared" si="32"/>
        <v>5</v>
      </c>
      <c r="I294">
        <f t="shared" si="33"/>
        <v>13</v>
      </c>
      <c r="J294">
        <f t="shared" si="36"/>
        <v>0</v>
      </c>
      <c r="K294">
        <f t="shared" si="37"/>
        <v>1</v>
      </c>
      <c r="L294">
        <f t="shared" si="34"/>
        <v>2</v>
      </c>
    </row>
    <row r="295" spans="1:12" x14ac:dyDescent="0.25">
      <c r="A295">
        <v>15</v>
      </c>
      <c r="B295" s="1">
        <v>45403</v>
      </c>
      <c r="C295" t="s">
        <v>29</v>
      </c>
      <c r="D295">
        <v>4</v>
      </c>
      <c r="E295">
        <v>3</v>
      </c>
      <c r="F295" t="s">
        <v>51</v>
      </c>
      <c r="G295">
        <f t="shared" si="38"/>
        <v>7</v>
      </c>
      <c r="H295">
        <f t="shared" si="32"/>
        <v>3</v>
      </c>
      <c r="I295">
        <f t="shared" si="33"/>
        <v>10</v>
      </c>
      <c r="J295">
        <f t="shared" si="36"/>
        <v>0</v>
      </c>
      <c r="K295">
        <f t="shared" si="37"/>
        <v>0</v>
      </c>
      <c r="L295">
        <f t="shared" si="34"/>
        <v>1</v>
      </c>
    </row>
    <row r="296" spans="1:12" x14ac:dyDescent="0.25">
      <c r="A296">
        <v>15</v>
      </c>
      <c r="B296" s="1">
        <v>45403</v>
      </c>
      <c r="C296" t="s">
        <v>29</v>
      </c>
      <c r="D296">
        <v>5</v>
      </c>
      <c r="E296">
        <v>4</v>
      </c>
      <c r="F296" t="s">
        <v>61</v>
      </c>
      <c r="G296">
        <f t="shared" si="38"/>
        <v>6</v>
      </c>
      <c r="H296">
        <f t="shared" si="32"/>
        <v>1</v>
      </c>
      <c r="I296">
        <f t="shared" si="33"/>
        <v>7</v>
      </c>
      <c r="J296">
        <f t="shared" si="36"/>
        <v>0</v>
      </c>
      <c r="K296">
        <f t="shared" si="37"/>
        <v>0</v>
      </c>
      <c r="L296">
        <f t="shared" si="34"/>
        <v>1</v>
      </c>
    </row>
    <row r="297" spans="1:12" x14ac:dyDescent="0.25">
      <c r="A297">
        <v>15</v>
      </c>
      <c r="B297" s="1">
        <v>45403</v>
      </c>
      <c r="C297" t="s">
        <v>29</v>
      </c>
      <c r="D297">
        <v>6</v>
      </c>
      <c r="E297">
        <v>6</v>
      </c>
      <c r="F297" t="s">
        <v>50</v>
      </c>
      <c r="G297">
        <f t="shared" si="38"/>
        <v>5</v>
      </c>
      <c r="H297">
        <f t="shared" si="32"/>
        <v>0</v>
      </c>
      <c r="I297">
        <f t="shared" si="33"/>
        <v>5</v>
      </c>
      <c r="J297">
        <f t="shared" si="36"/>
        <v>0</v>
      </c>
      <c r="K297">
        <f t="shared" si="37"/>
        <v>0</v>
      </c>
      <c r="L297">
        <f t="shared" si="34"/>
        <v>0</v>
      </c>
    </row>
    <row r="298" spans="1:12" x14ac:dyDescent="0.25">
      <c r="A298">
        <v>15</v>
      </c>
      <c r="B298" s="1">
        <v>45403</v>
      </c>
      <c r="C298" t="s">
        <v>29</v>
      </c>
      <c r="D298">
        <v>7</v>
      </c>
      <c r="E298">
        <v>10</v>
      </c>
      <c r="F298" t="s">
        <v>48</v>
      </c>
      <c r="G298">
        <f t="shared" si="38"/>
        <v>4</v>
      </c>
      <c r="H298">
        <f t="shared" si="32"/>
        <v>0</v>
      </c>
      <c r="I298">
        <f t="shared" si="33"/>
        <v>4</v>
      </c>
      <c r="J298">
        <f t="shared" si="36"/>
        <v>0</v>
      </c>
      <c r="K298">
        <f t="shared" si="37"/>
        <v>0</v>
      </c>
      <c r="L298">
        <f t="shared" si="34"/>
        <v>-3</v>
      </c>
    </row>
    <row r="299" spans="1:12" x14ac:dyDescent="0.25">
      <c r="A299">
        <v>15</v>
      </c>
      <c r="B299" s="1">
        <v>45403</v>
      </c>
      <c r="C299" t="s">
        <v>29</v>
      </c>
      <c r="D299">
        <v>8</v>
      </c>
      <c r="E299">
        <v>7</v>
      </c>
      <c r="F299" t="s">
        <v>65</v>
      </c>
      <c r="G299">
        <f t="shared" si="38"/>
        <v>3</v>
      </c>
      <c r="H299">
        <f t="shared" si="32"/>
        <v>0</v>
      </c>
      <c r="I299">
        <f t="shared" si="33"/>
        <v>3</v>
      </c>
      <c r="J299">
        <f t="shared" si="36"/>
        <v>0</v>
      </c>
      <c r="K299">
        <f t="shared" si="37"/>
        <v>0</v>
      </c>
      <c r="L299">
        <f t="shared" si="34"/>
        <v>1</v>
      </c>
    </row>
    <row r="300" spans="1:12" x14ac:dyDescent="0.25">
      <c r="A300">
        <v>15</v>
      </c>
      <c r="B300" s="1">
        <v>45403</v>
      </c>
      <c r="C300" t="s">
        <v>29</v>
      </c>
      <c r="D300">
        <v>9</v>
      </c>
      <c r="E300">
        <v>9</v>
      </c>
      <c r="F300" t="s">
        <v>62</v>
      </c>
      <c r="G300">
        <f t="shared" si="38"/>
        <v>2</v>
      </c>
      <c r="H300">
        <f t="shared" si="32"/>
        <v>0</v>
      </c>
      <c r="I300">
        <f t="shared" si="33"/>
        <v>2</v>
      </c>
      <c r="J300">
        <f t="shared" si="36"/>
        <v>0</v>
      </c>
      <c r="K300">
        <f t="shared" si="37"/>
        <v>0</v>
      </c>
      <c r="L300">
        <f t="shared" si="34"/>
        <v>0</v>
      </c>
    </row>
    <row r="301" spans="1:12" x14ac:dyDescent="0.25">
      <c r="A301">
        <v>15</v>
      </c>
      <c r="B301" s="1">
        <v>45403</v>
      </c>
      <c r="C301" t="s">
        <v>29</v>
      </c>
      <c r="D301">
        <v>10</v>
      </c>
      <c r="E301">
        <v>11</v>
      </c>
      <c r="F301" t="s">
        <v>52</v>
      </c>
      <c r="G301">
        <f t="shared" si="38"/>
        <v>1</v>
      </c>
      <c r="H301">
        <f t="shared" si="32"/>
        <v>0</v>
      </c>
      <c r="I301">
        <f t="shared" si="33"/>
        <v>1</v>
      </c>
      <c r="J301">
        <f t="shared" si="36"/>
        <v>0</v>
      </c>
      <c r="K301">
        <f t="shared" si="37"/>
        <v>0</v>
      </c>
      <c r="L301">
        <f t="shared" si="34"/>
        <v>-1</v>
      </c>
    </row>
    <row r="302" spans="1:12" x14ac:dyDescent="0.25">
      <c r="A302">
        <v>16</v>
      </c>
      <c r="B302" s="1">
        <v>45410</v>
      </c>
      <c r="C302" t="s">
        <v>4</v>
      </c>
      <c r="D302">
        <v>1</v>
      </c>
      <c r="E302">
        <v>1</v>
      </c>
      <c r="F302" t="s">
        <v>21</v>
      </c>
      <c r="G302">
        <f t="shared" ref="G302:G321" si="39">11-D302</f>
        <v>10</v>
      </c>
      <c r="H302">
        <f t="shared" si="32"/>
        <v>9</v>
      </c>
      <c r="I302">
        <f t="shared" si="33"/>
        <v>19</v>
      </c>
      <c r="J302">
        <f t="shared" si="36"/>
        <v>1</v>
      </c>
      <c r="K302">
        <f t="shared" si="37"/>
        <v>1</v>
      </c>
      <c r="L302">
        <f t="shared" si="34"/>
        <v>0</v>
      </c>
    </row>
    <row r="303" spans="1:12" x14ac:dyDescent="0.25">
      <c r="A303">
        <v>16</v>
      </c>
      <c r="B303" s="1">
        <v>45410</v>
      </c>
      <c r="C303" t="s">
        <v>4</v>
      </c>
      <c r="D303">
        <v>2</v>
      </c>
      <c r="E303">
        <v>2</v>
      </c>
      <c r="F303" t="s">
        <v>26</v>
      </c>
      <c r="G303">
        <f t="shared" si="39"/>
        <v>9</v>
      </c>
      <c r="H303">
        <f t="shared" si="32"/>
        <v>7</v>
      </c>
      <c r="I303">
        <f t="shared" si="33"/>
        <v>16</v>
      </c>
      <c r="J303">
        <f t="shared" si="36"/>
        <v>0</v>
      </c>
      <c r="K303">
        <f t="shared" si="37"/>
        <v>1</v>
      </c>
      <c r="L303">
        <f t="shared" si="34"/>
        <v>0</v>
      </c>
    </row>
    <row r="304" spans="1:12" x14ac:dyDescent="0.25">
      <c r="A304">
        <v>16</v>
      </c>
      <c r="B304" s="1">
        <v>45410</v>
      </c>
      <c r="C304" t="s">
        <v>4</v>
      </c>
      <c r="D304">
        <v>3</v>
      </c>
      <c r="E304">
        <v>4</v>
      </c>
      <c r="F304" t="s">
        <v>19</v>
      </c>
      <c r="G304">
        <f t="shared" si="39"/>
        <v>8</v>
      </c>
      <c r="H304">
        <f t="shared" si="32"/>
        <v>5</v>
      </c>
      <c r="I304">
        <f t="shared" si="33"/>
        <v>13</v>
      </c>
      <c r="J304">
        <f t="shared" si="36"/>
        <v>0</v>
      </c>
      <c r="K304">
        <f t="shared" si="37"/>
        <v>1</v>
      </c>
      <c r="L304">
        <f t="shared" si="34"/>
        <v>-1</v>
      </c>
    </row>
    <row r="305" spans="1:12" x14ac:dyDescent="0.25">
      <c r="A305">
        <v>16</v>
      </c>
      <c r="B305" s="1">
        <v>45410</v>
      </c>
      <c r="C305" t="s">
        <v>4</v>
      </c>
      <c r="D305">
        <v>4</v>
      </c>
      <c r="E305">
        <v>5</v>
      </c>
      <c r="F305" t="s">
        <v>22</v>
      </c>
      <c r="G305">
        <f t="shared" si="39"/>
        <v>7</v>
      </c>
      <c r="H305">
        <f t="shared" si="32"/>
        <v>3</v>
      </c>
      <c r="I305">
        <f t="shared" si="33"/>
        <v>10</v>
      </c>
      <c r="J305">
        <f t="shared" si="36"/>
        <v>0</v>
      </c>
      <c r="K305">
        <f t="shared" si="37"/>
        <v>0</v>
      </c>
      <c r="L305">
        <f t="shared" si="34"/>
        <v>-1</v>
      </c>
    </row>
    <row r="306" spans="1:12" x14ac:dyDescent="0.25">
      <c r="A306">
        <v>16</v>
      </c>
      <c r="B306" s="1">
        <v>45410</v>
      </c>
      <c r="C306" t="s">
        <v>4</v>
      </c>
      <c r="D306">
        <v>5</v>
      </c>
      <c r="E306">
        <v>3</v>
      </c>
      <c r="F306" t="s">
        <v>54</v>
      </c>
      <c r="G306">
        <f t="shared" si="39"/>
        <v>6</v>
      </c>
      <c r="H306">
        <f t="shared" si="32"/>
        <v>1</v>
      </c>
      <c r="I306">
        <f t="shared" si="33"/>
        <v>7</v>
      </c>
      <c r="J306">
        <f t="shared" si="36"/>
        <v>0</v>
      </c>
      <c r="K306">
        <f t="shared" si="37"/>
        <v>0</v>
      </c>
      <c r="L306">
        <f t="shared" si="34"/>
        <v>2</v>
      </c>
    </row>
    <row r="307" spans="1:12" x14ac:dyDescent="0.25">
      <c r="A307">
        <v>16</v>
      </c>
      <c r="B307" s="1">
        <v>45410</v>
      </c>
      <c r="C307" t="s">
        <v>4</v>
      </c>
      <c r="D307">
        <v>6</v>
      </c>
      <c r="E307">
        <v>6</v>
      </c>
      <c r="F307" t="s">
        <v>25</v>
      </c>
      <c r="G307">
        <f t="shared" si="39"/>
        <v>5</v>
      </c>
      <c r="H307">
        <f t="shared" si="32"/>
        <v>0</v>
      </c>
      <c r="I307">
        <f t="shared" si="33"/>
        <v>5</v>
      </c>
      <c r="J307">
        <f t="shared" si="36"/>
        <v>0</v>
      </c>
      <c r="K307">
        <f t="shared" si="37"/>
        <v>0</v>
      </c>
      <c r="L307">
        <f t="shared" si="34"/>
        <v>0</v>
      </c>
    </row>
    <row r="308" spans="1:12" x14ac:dyDescent="0.25">
      <c r="A308">
        <v>16</v>
      </c>
      <c r="B308" s="1">
        <v>45410</v>
      </c>
      <c r="C308" t="s">
        <v>4</v>
      </c>
      <c r="D308">
        <v>7</v>
      </c>
      <c r="E308">
        <v>7</v>
      </c>
      <c r="F308" t="s">
        <v>56</v>
      </c>
      <c r="G308">
        <f t="shared" si="39"/>
        <v>4</v>
      </c>
      <c r="H308">
        <f t="shared" si="32"/>
        <v>0</v>
      </c>
      <c r="I308">
        <f t="shared" si="33"/>
        <v>4</v>
      </c>
      <c r="J308">
        <f t="shared" si="36"/>
        <v>0</v>
      </c>
      <c r="K308">
        <f t="shared" si="37"/>
        <v>0</v>
      </c>
      <c r="L308">
        <f t="shared" si="34"/>
        <v>0</v>
      </c>
    </row>
    <row r="309" spans="1:12" x14ac:dyDescent="0.25">
      <c r="A309">
        <v>16</v>
      </c>
      <c r="B309" s="1">
        <v>45410</v>
      </c>
      <c r="C309" t="s">
        <v>4</v>
      </c>
      <c r="D309">
        <v>8</v>
      </c>
      <c r="E309">
        <v>8</v>
      </c>
      <c r="F309" t="s">
        <v>27</v>
      </c>
      <c r="G309">
        <f t="shared" si="39"/>
        <v>3</v>
      </c>
      <c r="H309">
        <f t="shared" si="32"/>
        <v>0</v>
      </c>
      <c r="I309">
        <f t="shared" si="33"/>
        <v>3</v>
      </c>
      <c r="J309">
        <f t="shared" si="36"/>
        <v>0</v>
      </c>
      <c r="K309">
        <f t="shared" si="37"/>
        <v>0</v>
      </c>
      <c r="L309">
        <f t="shared" si="34"/>
        <v>0</v>
      </c>
    </row>
    <row r="310" spans="1:12" x14ac:dyDescent="0.25">
      <c r="A310">
        <v>16</v>
      </c>
      <c r="B310" s="1">
        <v>45410</v>
      </c>
      <c r="C310" t="s">
        <v>4</v>
      </c>
      <c r="D310">
        <v>9</v>
      </c>
      <c r="E310">
        <v>9</v>
      </c>
      <c r="F310" t="s">
        <v>59</v>
      </c>
      <c r="G310">
        <f t="shared" si="39"/>
        <v>2</v>
      </c>
      <c r="H310">
        <f t="shared" si="32"/>
        <v>0</v>
      </c>
      <c r="I310">
        <f t="shared" si="33"/>
        <v>2</v>
      </c>
      <c r="J310">
        <f t="shared" si="36"/>
        <v>0</v>
      </c>
      <c r="K310">
        <f t="shared" si="37"/>
        <v>0</v>
      </c>
      <c r="L310">
        <f t="shared" si="34"/>
        <v>0</v>
      </c>
    </row>
    <row r="311" spans="1:12" x14ac:dyDescent="0.25">
      <c r="A311">
        <v>16</v>
      </c>
      <c r="B311" s="1">
        <v>45410</v>
      </c>
      <c r="C311" t="s">
        <v>4</v>
      </c>
      <c r="D311">
        <v>10</v>
      </c>
      <c r="E311">
        <v>10</v>
      </c>
      <c r="F311" t="s">
        <v>9</v>
      </c>
      <c r="G311">
        <f t="shared" si="39"/>
        <v>1</v>
      </c>
      <c r="H311">
        <f t="shared" si="32"/>
        <v>0</v>
      </c>
      <c r="I311">
        <f t="shared" si="33"/>
        <v>1</v>
      </c>
      <c r="J311">
        <f t="shared" si="36"/>
        <v>0</v>
      </c>
      <c r="K311">
        <f t="shared" si="37"/>
        <v>0</v>
      </c>
      <c r="L311">
        <f t="shared" si="34"/>
        <v>0</v>
      </c>
    </row>
    <row r="312" spans="1:12" x14ac:dyDescent="0.25">
      <c r="A312">
        <v>16</v>
      </c>
      <c r="B312" s="1">
        <v>45410</v>
      </c>
      <c r="C312" t="s">
        <v>29</v>
      </c>
      <c r="D312">
        <v>1</v>
      </c>
      <c r="E312">
        <v>1</v>
      </c>
      <c r="F312" t="s">
        <v>44</v>
      </c>
      <c r="G312">
        <f t="shared" si="39"/>
        <v>10</v>
      </c>
      <c r="H312">
        <f t="shared" si="32"/>
        <v>9</v>
      </c>
      <c r="I312">
        <f t="shared" si="33"/>
        <v>19</v>
      </c>
      <c r="J312">
        <f t="shared" si="36"/>
        <v>1</v>
      </c>
      <c r="K312">
        <f t="shared" si="37"/>
        <v>1</v>
      </c>
      <c r="L312">
        <f t="shared" si="34"/>
        <v>0</v>
      </c>
    </row>
    <row r="313" spans="1:12" x14ac:dyDescent="0.25">
      <c r="A313">
        <v>16</v>
      </c>
      <c r="B313" s="1">
        <v>45410</v>
      </c>
      <c r="C313" t="s">
        <v>29</v>
      </c>
      <c r="D313">
        <v>2</v>
      </c>
      <c r="E313">
        <v>2</v>
      </c>
      <c r="F313" t="s">
        <v>49</v>
      </c>
      <c r="G313">
        <f t="shared" si="39"/>
        <v>9</v>
      </c>
      <c r="H313">
        <f t="shared" si="32"/>
        <v>7</v>
      </c>
      <c r="I313">
        <f t="shared" si="33"/>
        <v>16</v>
      </c>
      <c r="J313">
        <f t="shared" si="36"/>
        <v>0</v>
      </c>
      <c r="K313">
        <f t="shared" si="37"/>
        <v>1</v>
      </c>
      <c r="L313">
        <f t="shared" si="34"/>
        <v>0</v>
      </c>
    </row>
    <row r="314" spans="1:12" x14ac:dyDescent="0.25">
      <c r="A314">
        <v>16</v>
      </c>
      <c r="B314" s="1">
        <v>45410</v>
      </c>
      <c r="C314" t="s">
        <v>29</v>
      </c>
      <c r="D314">
        <v>3</v>
      </c>
      <c r="E314">
        <v>4</v>
      </c>
      <c r="F314" t="s">
        <v>51</v>
      </c>
      <c r="G314">
        <f t="shared" si="39"/>
        <v>8</v>
      </c>
      <c r="H314">
        <f t="shared" si="32"/>
        <v>5</v>
      </c>
      <c r="I314">
        <f t="shared" si="33"/>
        <v>13</v>
      </c>
      <c r="J314">
        <f t="shared" si="36"/>
        <v>0</v>
      </c>
      <c r="K314">
        <f t="shared" si="37"/>
        <v>1</v>
      </c>
      <c r="L314">
        <f t="shared" si="34"/>
        <v>-1</v>
      </c>
    </row>
    <row r="315" spans="1:12" x14ac:dyDescent="0.25">
      <c r="A315">
        <v>16</v>
      </c>
      <c r="B315" s="1">
        <v>45410</v>
      </c>
      <c r="C315" t="s">
        <v>29</v>
      </c>
      <c r="D315">
        <v>4</v>
      </c>
      <c r="E315">
        <v>3</v>
      </c>
      <c r="F315" t="s">
        <v>60</v>
      </c>
      <c r="G315">
        <f t="shared" si="39"/>
        <v>7</v>
      </c>
      <c r="H315">
        <f t="shared" si="32"/>
        <v>3</v>
      </c>
      <c r="I315">
        <f t="shared" si="33"/>
        <v>10</v>
      </c>
      <c r="J315">
        <f t="shared" si="36"/>
        <v>0</v>
      </c>
      <c r="K315">
        <f t="shared" si="37"/>
        <v>0</v>
      </c>
      <c r="L315">
        <f t="shared" si="34"/>
        <v>1</v>
      </c>
    </row>
    <row r="316" spans="1:12" x14ac:dyDescent="0.25">
      <c r="A316">
        <v>16</v>
      </c>
      <c r="B316" s="1">
        <v>45410</v>
      </c>
      <c r="C316" t="s">
        <v>29</v>
      </c>
      <c r="D316">
        <v>5</v>
      </c>
      <c r="E316">
        <v>5</v>
      </c>
      <c r="F316" t="s">
        <v>61</v>
      </c>
      <c r="G316">
        <f t="shared" si="39"/>
        <v>6</v>
      </c>
      <c r="H316">
        <f t="shared" si="32"/>
        <v>1</v>
      </c>
      <c r="I316">
        <f t="shared" si="33"/>
        <v>7</v>
      </c>
      <c r="J316">
        <f t="shared" si="36"/>
        <v>0</v>
      </c>
      <c r="K316">
        <f t="shared" si="37"/>
        <v>0</v>
      </c>
      <c r="L316">
        <f t="shared" si="34"/>
        <v>0</v>
      </c>
    </row>
    <row r="317" spans="1:12" x14ac:dyDescent="0.25">
      <c r="A317">
        <v>16</v>
      </c>
      <c r="B317" s="1">
        <v>45410</v>
      </c>
      <c r="C317" t="s">
        <v>29</v>
      </c>
      <c r="D317">
        <v>6</v>
      </c>
      <c r="E317">
        <v>6</v>
      </c>
      <c r="F317" t="s">
        <v>50</v>
      </c>
      <c r="G317">
        <f t="shared" si="39"/>
        <v>5</v>
      </c>
      <c r="H317">
        <f t="shared" si="32"/>
        <v>0</v>
      </c>
      <c r="I317">
        <f t="shared" si="33"/>
        <v>5</v>
      </c>
      <c r="J317">
        <f t="shared" si="36"/>
        <v>0</v>
      </c>
      <c r="K317">
        <f t="shared" si="37"/>
        <v>0</v>
      </c>
      <c r="L317">
        <f t="shared" si="34"/>
        <v>0</v>
      </c>
    </row>
    <row r="318" spans="1:12" x14ac:dyDescent="0.25">
      <c r="A318">
        <v>16</v>
      </c>
      <c r="B318" s="1">
        <v>45410</v>
      </c>
      <c r="C318" t="s">
        <v>29</v>
      </c>
      <c r="D318">
        <v>7</v>
      </c>
      <c r="E318">
        <v>7</v>
      </c>
      <c r="F318" t="s">
        <v>48</v>
      </c>
      <c r="G318">
        <f t="shared" si="39"/>
        <v>4</v>
      </c>
      <c r="H318">
        <f t="shared" si="32"/>
        <v>0</v>
      </c>
      <c r="I318">
        <f t="shared" si="33"/>
        <v>4</v>
      </c>
      <c r="J318">
        <f t="shared" si="36"/>
        <v>0</v>
      </c>
      <c r="K318">
        <f t="shared" si="37"/>
        <v>0</v>
      </c>
      <c r="L318">
        <f t="shared" si="34"/>
        <v>0</v>
      </c>
    </row>
    <row r="319" spans="1:12" x14ac:dyDescent="0.25">
      <c r="A319">
        <v>16</v>
      </c>
      <c r="B319" s="1">
        <v>45410</v>
      </c>
      <c r="C319" t="s">
        <v>29</v>
      </c>
      <c r="D319">
        <v>8</v>
      </c>
      <c r="E319">
        <v>10</v>
      </c>
      <c r="F319" t="s">
        <v>52</v>
      </c>
      <c r="G319">
        <f t="shared" si="39"/>
        <v>3</v>
      </c>
      <c r="H319">
        <f t="shared" si="32"/>
        <v>0</v>
      </c>
      <c r="I319">
        <f t="shared" si="33"/>
        <v>3</v>
      </c>
      <c r="J319">
        <f t="shared" si="36"/>
        <v>0</v>
      </c>
      <c r="K319">
        <f t="shared" si="37"/>
        <v>0</v>
      </c>
      <c r="L319">
        <f t="shared" si="34"/>
        <v>-2</v>
      </c>
    </row>
    <row r="320" spans="1:12" x14ac:dyDescent="0.25">
      <c r="A320">
        <v>16</v>
      </c>
      <c r="B320" s="1">
        <v>45410</v>
      </c>
      <c r="C320" t="s">
        <v>29</v>
      </c>
      <c r="D320">
        <v>9</v>
      </c>
      <c r="E320">
        <v>8</v>
      </c>
      <c r="F320" t="s">
        <v>65</v>
      </c>
      <c r="G320">
        <f t="shared" si="39"/>
        <v>2</v>
      </c>
      <c r="H320">
        <f t="shared" si="32"/>
        <v>0</v>
      </c>
      <c r="I320">
        <f t="shared" si="33"/>
        <v>2</v>
      </c>
      <c r="J320">
        <f t="shared" si="36"/>
        <v>0</v>
      </c>
      <c r="K320">
        <f t="shared" si="37"/>
        <v>0</v>
      </c>
      <c r="L320">
        <f t="shared" si="34"/>
        <v>1</v>
      </c>
    </row>
    <row r="321" spans="1:12" x14ac:dyDescent="0.25">
      <c r="A321">
        <v>16</v>
      </c>
      <c r="B321" s="1">
        <v>45410</v>
      </c>
      <c r="C321" t="s">
        <v>29</v>
      </c>
      <c r="D321">
        <v>10</v>
      </c>
      <c r="E321">
        <v>9</v>
      </c>
      <c r="F321" t="s">
        <v>62</v>
      </c>
      <c r="G321">
        <f t="shared" si="39"/>
        <v>1</v>
      </c>
      <c r="H321">
        <f t="shared" si="32"/>
        <v>0</v>
      </c>
      <c r="I321">
        <f t="shared" si="33"/>
        <v>1</v>
      </c>
      <c r="J321">
        <f t="shared" si="36"/>
        <v>0</v>
      </c>
      <c r="K321">
        <f t="shared" si="37"/>
        <v>0</v>
      </c>
      <c r="L321">
        <f t="shared" si="34"/>
        <v>1</v>
      </c>
    </row>
    <row r="322" spans="1:12" x14ac:dyDescent="0.25">
      <c r="A322">
        <v>17</v>
      </c>
      <c r="B322" s="1">
        <v>45417</v>
      </c>
      <c r="C322" t="s">
        <v>4</v>
      </c>
      <c r="D322">
        <v>1</v>
      </c>
      <c r="E322">
        <v>1</v>
      </c>
      <c r="F322" t="s">
        <v>21</v>
      </c>
      <c r="G322">
        <f t="shared" ref="G322:G341" si="40">11-D322</f>
        <v>10</v>
      </c>
      <c r="H322">
        <f t="shared" si="32"/>
        <v>9</v>
      </c>
      <c r="I322">
        <f t="shared" si="33"/>
        <v>19</v>
      </c>
      <c r="J322">
        <f t="shared" si="36"/>
        <v>1</v>
      </c>
      <c r="K322">
        <f t="shared" si="37"/>
        <v>1</v>
      </c>
      <c r="L322">
        <f t="shared" si="34"/>
        <v>0</v>
      </c>
    </row>
    <row r="323" spans="1:12" x14ac:dyDescent="0.25">
      <c r="A323">
        <v>17</v>
      </c>
      <c r="B323" s="1">
        <v>45417</v>
      </c>
      <c r="C323" t="s">
        <v>4</v>
      </c>
      <c r="D323">
        <v>2</v>
      </c>
      <c r="E323">
        <v>3</v>
      </c>
      <c r="F323" t="s">
        <v>19</v>
      </c>
      <c r="G323">
        <f t="shared" si="40"/>
        <v>9</v>
      </c>
      <c r="H323">
        <f t="shared" ref="H323:H386" si="41">IF(D323&lt;6,11-2*D323,0)</f>
        <v>7</v>
      </c>
      <c r="I323">
        <f t="shared" ref="I323:I386" si="42">G323+H323</f>
        <v>16</v>
      </c>
      <c r="J323">
        <f t="shared" si="36"/>
        <v>0</v>
      </c>
      <c r="K323">
        <f t="shared" si="37"/>
        <v>1</v>
      </c>
      <c r="L323">
        <f t="shared" ref="L323:L386" si="43">D323-E323</f>
        <v>-1</v>
      </c>
    </row>
    <row r="324" spans="1:12" x14ac:dyDescent="0.25">
      <c r="A324">
        <v>17</v>
      </c>
      <c r="B324" s="1">
        <v>45417</v>
      </c>
      <c r="C324" t="s">
        <v>4</v>
      </c>
      <c r="D324">
        <v>3</v>
      </c>
      <c r="E324">
        <v>2</v>
      </c>
      <c r="F324" t="s">
        <v>26</v>
      </c>
      <c r="G324">
        <f t="shared" si="40"/>
        <v>8</v>
      </c>
      <c r="H324">
        <f t="shared" si="41"/>
        <v>5</v>
      </c>
      <c r="I324">
        <f t="shared" si="42"/>
        <v>13</v>
      </c>
      <c r="J324">
        <f t="shared" si="36"/>
        <v>0</v>
      </c>
      <c r="K324">
        <f t="shared" si="37"/>
        <v>1</v>
      </c>
      <c r="L324">
        <f t="shared" si="43"/>
        <v>1</v>
      </c>
    </row>
    <row r="325" spans="1:12" x14ac:dyDescent="0.25">
      <c r="A325">
        <v>17</v>
      </c>
      <c r="B325" s="1">
        <v>45417</v>
      </c>
      <c r="C325" t="s">
        <v>4</v>
      </c>
      <c r="D325">
        <v>4</v>
      </c>
      <c r="E325">
        <v>4</v>
      </c>
      <c r="F325" t="s">
        <v>22</v>
      </c>
      <c r="G325">
        <f t="shared" si="40"/>
        <v>7</v>
      </c>
      <c r="H325">
        <f t="shared" si="41"/>
        <v>3</v>
      </c>
      <c r="I325">
        <f t="shared" si="42"/>
        <v>10</v>
      </c>
      <c r="J325">
        <f t="shared" si="36"/>
        <v>0</v>
      </c>
      <c r="K325">
        <f t="shared" si="37"/>
        <v>0</v>
      </c>
      <c r="L325">
        <f t="shared" si="43"/>
        <v>0</v>
      </c>
    </row>
    <row r="326" spans="1:12" x14ac:dyDescent="0.25">
      <c r="A326">
        <v>17</v>
      </c>
      <c r="B326" s="1">
        <v>45417</v>
      </c>
      <c r="C326" t="s">
        <v>4</v>
      </c>
      <c r="D326">
        <v>5</v>
      </c>
      <c r="E326">
        <v>5</v>
      </c>
      <c r="F326" t="s">
        <v>54</v>
      </c>
      <c r="G326">
        <f t="shared" si="40"/>
        <v>6</v>
      </c>
      <c r="H326">
        <f t="shared" si="41"/>
        <v>1</v>
      </c>
      <c r="I326">
        <f t="shared" si="42"/>
        <v>7</v>
      </c>
      <c r="J326">
        <f t="shared" si="36"/>
        <v>0</v>
      </c>
      <c r="K326">
        <f t="shared" si="37"/>
        <v>0</v>
      </c>
      <c r="L326">
        <f t="shared" si="43"/>
        <v>0</v>
      </c>
    </row>
    <row r="327" spans="1:12" x14ac:dyDescent="0.25">
      <c r="A327">
        <v>17</v>
      </c>
      <c r="B327" s="1">
        <v>45417</v>
      </c>
      <c r="C327" t="s">
        <v>4</v>
      </c>
      <c r="D327">
        <v>6</v>
      </c>
      <c r="E327">
        <v>6</v>
      </c>
      <c r="F327" t="s">
        <v>25</v>
      </c>
      <c r="G327">
        <f t="shared" si="40"/>
        <v>5</v>
      </c>
      <c r="H327">
        <f t="shared" si="41"/>
        <v>0</v>
      </c>
      <c r="I327">
        <f t="shared" si="42"/>
        <v>5</v>
      </c>
      <c r="J327">
        <f t="shared" si="36"/>
        <v>0</v>
      </c>
      <c r="K327">
        <f t="shared" si="37"/>
        <v>0</v>
      </c>
      <c r="L327">
        <f t="shared" si="43"/>
        <v>0</v>
      </c>
    </row>
    <row r="328" spans="1:12" x14ac:dyDescent="0.25">
      <c r="A328">
        <v>17</v>
      </c>
      <c r="B328" s="1">
        <v>45417</v>
      </c>
      <c r="C328" t="s">
        <v>4</v>
      </c>
      <c r="D328">
        <v>7</v>
      </c>
      <c r="E328">
        <v>7</v>
      </c>
      <c r="F328" t="s">
        <v>56</v>
      </c>
      <c r="G328">
        <f t="shared" si="40"/>
        <v>4</v>
      </c>
      <c r="H328">
        <f t="shared" si="41"/>
        <v>0</v>
      </c>
      <c r="I328">
        <f t="shared" si="42"/>
        <v>4</v>
      </c>
      <c r="J328">
        <f t="shared" si="36"/>
        <v>0</v>
      </c>
      <c r="K328">
        <f t="shared" si="37"/>
        <v>0</v>
      </c>
      <c r="L328">
        <f t="shared" si="43"/>
        <v>0</v>
      </c>
    </row>
    <row r="329" spans="1:12" x14ac:dyDescent="0.25">
      <c r="A329">
        <v>17</v>
      </c>
      <c r="B329" s="1">
        <v>45417</v>
      </c>
      <c r="C329" t="s">
        <v>4</v>
      </c>
      <c r="D329">
        <v>8</v>
      </c>
      <c r="E329">
        <v>8</v>
      </c>
      <c r="F329" t="s">
        <v>27</v>
      </c>
      <c r="G329">
        <f t="shared" si="40"/>
        <v>3</v>
      </c>
      <c r="H329">
        <f t="shared" si="41"/>
        <v>0</v>
      </c>
      <c r="I329">
        <f t="shared" si="42"/>
        <v>3</v>
      </c>
      <c r="J329">
        <f t="shared" si="36"/>
        <v>0</v>
      </c>
      <c r="K329">
        <f t="shared" si="37"/>
        <v>0</v>
      </c>
      <c r="L329">
        <f t="shared" si="43"/>
        <v>0</v>
      </c>
    </row>
    <row r="330" spans="1:12" x14ac:dyDescent="0.25">
      <c r="A330">
        <v>17</v>
      </c>
      <c r="B330" s="1">
        <v>45417</v>
      </c>
      <c r="C330" t="s">
        <v>4</v>
      </c>
      <c r="D330">
        <v>9</v>
      </c>
      <c r="E330">
        <v>10</v>
      </c>
      <c r="F330" t="s">
        <v>9</v>
      </c>
      <c r="G330">
        <f t="shared" si="40"/>
        <v>2</v>
      </c>
      <c r="H330">
        <f t="shared" si="41"/>
        <v>0</v>
      </c>
      <c r="I330">
        <f t="shared" si="42"/>
        <v>2</v>
      </c>
      <c r="J330">
        <f t="shared" si="36"/>
        <v>0</v>
      </c>
      <c r="K330">
        <f t="shared" si="37"/>
        <v>0</v>
      </c>
      <c r="L330">
        <f t="shared" si="43"/>
        <v>-1</v>
      </c>
    </row>
    <row r="331" spans="1:12" x14ac:dyDescent="0.25">
      <c r="A331">
        <v>17</v>
      </c>
      <c r="B331" s="1">
        <v>45417</v>
      </c>
      <c r="C331" t="s">
        <v>4</v>
      </c>
      <c r="D331">
        <v>10</v>
      </c>
      <c r="E331">
        <v>11</v>
      </c>
      <c r="F331" t="s">
        <v>24</v>
      </c>
      <c r="G331">
        <f t="shared" si="40"/>
        <v>1</v>
      </c>
      <c r="H331">
        <f t="shared" si="41"/>
        <v>0</v>
      </c>
      <c r="I331">
        <f t="shared" si="42"/>
        <v>1</v>
      </c>
      <c r="J331">
        <f t="shared" si="36"/>
        <v>0</v>
      </c>
      <c r="K331">
        <f t="shared" si="37"/>
        <v>0</v>
      </c>
      <c r="L331">
        <f t="shared" si="43"/>
        <v>-1</v>
      </c>
    </row>
    <row r="332" spans="1:12" x14ac:dyDescent="0.25">
      <c r="A332">
        <v>17</v>
      </c>
      <c r="B332" s="1">
        <v>45417</v>
      </c>
      <c r="C332" t="s">
        <v>29</v>
      </c>
      <c r="D332">
        <v>1</v>
      </c>
      <c r="E332">
        <v>11</v>
      </c>
      <c r="F332" t="s">
        <v>45</v>
      </c>
      <c r="G332">
        <f t="shared" si="40"/>
        <v>10</v>
      </c>
      <c r="H332">
        <f t="shared" si="41"/>
        <v>9</v>
      </c>
      <c r="I332">
        <f t="shared" si="42"/>
        <v>19</v>
      </c>
      <c r="J332">
        <f t="shared" si="36"/>
        <v>1</v>
      </c>
      <c r="K332">
        <f t="shared" si="37"/>
        <v>1</v>
      </c>
      <c r="L332">
        <f t="shared" si="43"/>
        <v>-10</v>
      </c>
    </row>
    <row r="333" spans="1:12" x14ac:dyDescent="0.25">
      <c r="A333">
        <v>17</v>
      </c>
      <c r="B333" s="1">
        <v>45417</v>
      </c>
      <c r="C333" t="s">
        <v>29</v>
      </c>
      <c r="D333">
        <v>2</v>
      </c>
      <c r="E333">
        <v>1</v>
      </c>
      <c r="F333" t="s">
        <v>44</v>
      </c>
      <c r="G333">
        <f t="shared" si="40"/>
        <v>9</v>
      </c>
      <c r="H333">
        <f t="shared" si="41"/>
        <v>7</v>
      </c>
      <c r="I333">
        <f t="shared" si="42"/>
        <v>16</v>
      </c>
      <c r="J333">
        <f t="shared" ref="J333:J396" si="44">COUNTIF(D333,"=1")</f>
        <v>0</v>
      </c>
      <c r="K333">
        <f t="shared" ref="K333:K396" si="45">COUNTIF(D333,"&lt;4")</f>
        <v>1</v>
      </c>
      <c r="L333">
        <f t="shared" si="43"/>
        <v>1</v>
      </c>
    </row>
    <row r="334" spans="1:12" x14ac:dyDescent="0.25">
      <c r="A334">
        <v>17</v>
      </c>
      <c r="B334" s="1">
        <v>45417</v>
      </c>
      <c r="C334" t="s">
        <v>29</v>
      </c>
      <c r="D334">
        <v>3</v>
      </c>
      <c r="E334">
        <v>2</v>
      </c>
      <c r="F334" t="s">
        <v>49</v>
      </c>
      <c r="G334">
        <f t="shared" si="40"/>
        <v>8</v>
      </c>
      <c r="H334">
        <f t="shared" si="41"/>
        <v>5</v>
      </c>
      <c r="I334">
        <f t="shared" si="42"/>
        <v>13</v>
      </c>
      <c r="J334">
        <f t="shared" si="44"/>
        <v>0</v>
      </c>
      <c r="K334">
        <f t="shared" si="45"/>
        <v>1</v>
      </c>
      <c r="L334">
        <f t="shared" si="43"/>
        <v>1</v>
      </c>
    </row>
    <row r="335" spans="1:12" x14ac:dyDescent="0.25">
      <c r="A335">
        <v>17</v>
      </c>
      <c r="B335" s="1">
        <v>45417</v>
      </c>
      <c r="C335" t="s">
        <v>29</v>
      </c>
      <c r="D335">
        <v>4</v>
      </c>
      <c r="E335">
        <v>11</v>
      </c>
      <c r="F335" t="s">
        <v>46</v>
      </c>
      <c r="G335">
        <f t="shared" si="40"/>
        <v>7</v>
      </c>
      <c r="H335">
        <f t="shared" si="41"/>
        <v>3</v>
      </c>
      <c r="I335">
        <f t="shared" si="42"/>
        <v>10</v>
      </c>
      <c r="J335">
        <f t="shared" si="44"/>
        <v>0</v>
      </c>
      <c r="K335">
        <f t="shared" si="45"/>
        <v>0</v>
      </c>
      <c r="L335">
        <f t="shared" si="43"/>
        <v>-7</v>
      </c>
    </row>
    <row r="336" spans="1:12" x14ac:dyDescent="0.25">
      <c r="A336">
        <v>17</v>
      </c>
      <c r="B336" s="1">
        <v>45417</v>
      </c>
      <c r="C336" t="s">
        <v>29</v>
      </c>
      <c r="D336">
        <v>5</v>
      </c>
      <c r="E336">
        <v>3</v>
      </c>
      <c r="F336" t="s">
        <v>51</v>
      </c>
      <c r="G336">
        <f t="shared" si="40"/>
        <v>6</v>
      </c>
      <c r="H336">
        <f t="shared" si="41"/>
        <v>1</v>
      </c>
      <c r="I336">
        <f t="shared" si="42"/>
        <v>7</v>
      </c>
      <c r="J336">
        <f t="shared" si="44"/>
        <v>0</v>
      </c>
      <c r="K336">
        <f t="shared" si="45"/>
        <v>0</v>
      </c>
      <c r="L336">
        <f t="shared" si="43"/>
        <v>2</v>
      </c>
    </row>
    <row r="337" spans="1:12" x14ac:dyDescent="0.25">
      <c r="A337">
        <v>17</v>
      </c>
      <c r="B337" s="1">
        <v>45417</v>
      </c>
      <c r="C337" t="s">
        <v>29</v>
      </c>
      <c r="D337">
        <v>6</v>
      </c>
      <c r="E337">
        <v>6</v>
      </c>
      <c r="F337" t="s">
        <v>50</v>
      </c>
      <c r="G337">
        <f t="shared" si="40"/>
        <v>5</v>
      </c>
      <c r="H337">
        <f t="shared" si="41"/>
        <v>0</v>
      </c>
      <c r="I337">
        <f t="shared" si="42"/>
        <v>5</v>
      </c>
      <c r="J337">
        <f t="shared" si="44"/>
        <v>0</v>
      </c>
      <c r="K337">
        <f t="shared" si="45"/>
        <v>0</v>
      </c>
      <c r="L337">
        <f t="shared" si="43"/>
        <v>0</v>
      </c>
    </row>
    <row r="338" spans="1:12" x14ac:dyDescent="0.25">
      <c r="A338">
        <v>17</v>
      </c>
      <c r="B338" s="1">
        <v>45417</v>
      </c>
      <c r="C338" t="s">
        <v>29</v>
      </c>
      <c r="D338">
        <v>7</v>
      </c>
      <c r="E338">
        <v>5</v>
      </c>
      <c r="F338" t="s">
        <v>61</v>
      </c>
      <c r="G338">
        <f t="shared" si="40"/>
        <v>4</v>
      </c>
      <c r="H338">
        <f t="shared" si="41"/>
        <v>0</v>
      </c>
      <c r="I338">
        <f t="shared" si="42"/>
        <v>4</v>
      </c>
      <c r="J338">
        <f t="shared" si="44"/>
        <v>0</v>
      </c>
      <c r="K338">
        <f t="shared" si="45"/>
        <v>0</v>
      </c>
      <c r="L338">
        <f t="shared" si="43"/>
        <v>2</v>
      </c>
    </row>
    <row r="339" spans="1:12" x14ac:dyDescent="0.25">
      <c r="A339">
        <v>17</v>
      </c>
      <c r="B339" s="1">
        <v>45417</v>
      </c>
      <c r="C339" t="s">
        <v>29</v>
      </c>
      <c r="D339">
        <v>8</v>
      </c>
      <c r="E339">
        <v>7</v>
      </c>
      <c r="F339" t="s">
        <v>48</v>
      </c>
      <c r="G339">
        <f t="shared" si="40"/>
        <v>3</v>
      </c>
      <c r="H339">
        <f t="shared" si="41"/>
        <v>0</v>
      </c>
      <c r="I339">
        <f t="shared" si="42"/>
        <v>3</v>
      </c>
      <c r="J339">
        <f t="shared" si="44"/>
        <v>0</v>
      </c>
      <c r="K339">
        <f t="shared" si="45"/>
        <v>0</v>
      </c>
      <c r="L339">
        <f t="shared" si="43"/>
        <v>1</v>
      </c>
    </row>
    <row r="340" spans="1:12" x14ac:dyDescent="0.25">
      <c r="A340">
        <v>17</v>
      </c>
      <c r="B340" s="1">
        <v>45417</v>
      </c>
      <c r="C340" t="s">
        <v>29</v>
      </c>
      <c r="D340">
        <v>9</v>
      </c>
      <c r="E340">
        <v>8</v>
      </c>
      <c r="F340" t="s">
        <v>52</v>
      </c>
      <c r="G340">
        <f t="shared" si="40"/>
        <v>2</v>
      </c>
      <c r="H340">
        <f t="shared" si="41"/>
        <v>0</v>
      </c>
      <c r="I340">
        <f t="shared" si="42"/>
        <v>2</v>
      </c>
      <c r="J340">
        <f t="shared" si="44"/>
        <v>0</v>
      </c>
      <c r="K340">
        <f t="shared" si="45"/>
        <v>0</v>
      </c>
      <c r="L340">
        <f t="shared" si="43"/>
        <v>1</v>
      </c>
    </row>
    <row r="341" spans="1:12" x14ac:dyDescent="0.25">
      <c r="A341">
        <v>17</v>
      </c>
      <c r="B341" s="1">
        <v>45417</v>
      </c>
      <c r="C341" t="s">
        <v>29</v>
      </c>
      <c r="D341">
        <v>10</v>
      </c>
      <c r="E341">
        <v>11</v>
      </c>
      <c r="F341" t="s">
        <v>47</v>
      </c>
      <c r="G341">
        <f t="shared" si="40"/>
        <v>1</v>
      </c>
      <c r="H341">
        <f t="shared" si="41"/>
        <v>0</v>
      </c>
      <c r="I341">
        <f t="shared" si="42"/>
        <v>1</v>
      </c>
      <c r="J341">
        <f t="shared" si="44"/>
        <v>0</v>
      </c>
      <c r="K341">
        <f t="shared" si="45"/>
        <v>0</v>
      </c>
      <c r="L341">
        <f t="shared" si="43"/>
        <v>-1</v>
      </c>
    </row>
    <row r="342" spans="1:12" x14ac:dyDescent="0.25">
      <c r="A342">
        <v>18</v>
      </c>
      <c r="B342" s="1">
        <v>45424</v>
      </c>
      <c r="C342" t="s">
        <v>4</v>
      </c>
      <c r="D342">
        <v>1</v>
      </c>
      <c r="E342">
        <v>1</v>
      </c>
      <c r="F342" t="s">
        <v>21</v>
      </c>
      <c r="G342">
        <f t="shared" ref="G342:G361" si="46">11-D342</f>
        <v>10</v>
      </c>
      <c r="H342">
        <f t="shared" si="41"/>
        <v>9</v>
      </c>
      <c r="I342">
        <f t="shared" si="42"/>
        <v>19</v>
      </c>
      <c r="J342">
        <f t="shared" si="44"/>
        <v>1</v>
      </c>
      <c r="K342">
        <f t="shared" si="45"/>
        <v>1</v>
      </c>
      <c r="L342">
        <f t="shared" si="43"/>
        <v>0</v>
      </c>
    </row>
    <row r="343" spans="1:12" x14ac:dyDescent="0.25">
      <c r="A343">
        <v>18</v>
      </c>
      <c r="B343" s="1">
        <v>45424</v>
      </c>
      <c r="C343" t="s">
        <v>4</v>
      </c>
      <c r="D343">
        <v>2</v>
      </c>
      <c r="E343">
        <v>2</v>
      </c>
      <c r="F343" t="s">
        <v>19</v>
      </c>
      <c r="G343">
        <f t="shared" si="46"/>
        <v>9</v>
      </c>
      <c r="H343">
        <f t="shared" si="41"/>
        <v>7</v>
      </c>
      <c r="I343">
        <f t="shared" si="42"/>
        <v>16</v>
      </c>
      <c r="J343">
        <f t="shared" si="44"/>
        <v>0</v>
      </c>
      <c r="K343">
        <f t="shared" si="45"/>
        <v>1</v>
      </c>
      <c r="L343">
        <f t="shared" si="43"/>
        <v>0</v>
      </c>
    </row>
    <row r="344" spans="1:12" x14ac:dyDescent="0.25">
      <c r="A344">
        <v>18</v>
      </c>
      <c r="B344" s="1">
        <v>45424</v>
      </c>
      <c r="C344" t="s">
        <v>4</v>
      </c>
      <c r="D344">
        <v>3</v>
      </c>
      <c r="E344">
        <v>4</v>
      </c>
      <c r="F344" t="s">
        <v>22</v>
      </c>
      <c r="G344">
        <f t="shared" si="46"/>
        <v>8</v>
      </c>
      <c r="H344">
        <f t="shared" si="41"/>
        <v>5</v>
      </c>
      <c r="I344">
        <f t="shared" si="42"/>
        <v>13</v>
      </c>
      <c r="J344">
        <f t="shared" si="44"/>
        <v>0</v>
      </c>
      <c r="K344">
        <f t="shared" si="45"/>
        <v>1</v>
      </c>
      <c r="L344">
        <f t="shared" si="43"/>
        <v>-1</v>
      </c>
    </row>
    <row r="345" spans="1:12" x14ac:dyDescent="0.25">
      <c r="A345">
        <v>18</v>
      </c>
      <c r="B345" s="1">
        <v>45424</v>
      </c>
      <c r="C345" t="s">
        <v>4</v>
      </c>
      <c r="D345">
        <v>4</v>
      </c>
      <c r="E345">
        <v>3</v>
      </c>
      <c r="F345" t="s">
        <v>26</v>
      </c>
      <c r="G345">
        <f t="shared" si="46"/>
        <v>7</v>
      </c>
      <c r="H345">
        <f t="shared" si="41"/>
        <v>3</v>
      </c>
      <c r="I345">
        <f t="shared" si="42"/>
        <v>10</v>
      </c>
      <c r="J345">
        <f t="shared" si="44"/>
        <v>0</v>
      </c>
      <c r="K345">
        <f t="shared" si="45"/>
        <v>0</v>
      </c>
      <c r="L345">
        <f t="shared" si="43"/>
        <v>1</v>
      </c>
    </row>
    <row r="346" spans="1:12" x14ac:dyDescent="0.25">
      <c r="A346">
        <v>18</v>
      </c>
      <c r="B346" s="1">
        <v>45424</v>
      </c>
      <c r="C346" t="s">
        <v>4</v>
      </c>
      <c r="D346">
        <v>5</v>
      </c>
      <c r="E346">
        <v>6</v>
      </c>
      <c r="F346" t="s">
        <v>25</v>
      </c>
      <c r="G346">
        <f t="shared" si="46"/>
        <v>6</v>
      </c>
      <c r="H346">
        <f t="shared" si="41"/>
        <v>1</v>
      </c>
      <c r="I346">
        <f t="shared" si="42"/>
        <v>7</v>
      </c>
      <c r="J346">
        <f t="shared" si="44"/>
        <v>0</v>
      </c>
      <c r="K346">
        <f t="shared" si="45"/>
        <v>0</v>
      </c>
      <c r="L346">
        <f t="shared" si="43"/>
        <v>-1</v>
      </c>
    </row>
    <row r="347" spans="1:12" x14ac:dyDescent="0.25">
      <c r="A347">
        <v>18</v>
      </c>
      <c r="B347" s="1">
        <v>45424</v>
      </c>
      <c r="C347" t="s">
        <v>4</v>
      </c>
      <c r="D347">
        <v>6</v>
      </c>
      <c r="E347">
        <v>9</v>
      </c>
      <c r="F347" t="s">
        <v>9</v>
      </c>
      <c r="G347">
        <f t="shared" si="46"/>
        <v>5</v>
      </c>
      <c r="H347">
        <f t="shared" si="41"/>
        <v>0</v>
      </c>
      <c r="I347">
        <f t="shared" si="42"/>
        <v>5</v>
      </c>
      <c r="J347">
        <f t="shared" si="44"/>
        <v>0</v>
      </c>
      <c r="K347">
        <f t="shared" si="45"/>
        <v>0</v>
      </c>
      <c r="L347">
        <f t="shared" si="43"/>
        <v>-3</v>
      </c>
    </row>
    <row r="348" spans="1:12" x14ac:dyDescent="0.25">
      <c r="A348">
        <v>18</v>
      </c>
      <c r="B348" s="1">
        <v>45424</v>
      </c>
      <c r="C348" t="s">
        <v>4</v>
      </c>
      <c r="D348">
        <v>7</v>
      </c>
      <c r="E348">
        <v>11</v>
      </c>
      <c r="F348" t="s">
        <v>16</v>
      </c>
      <c r="G348">
        <f t="shared" si="46"/>
        <v>4</v>
      </c>
      <c r="H348">
        <f t="shared" si="41"/>
        <v>0</v>
      </c>
      <c r="I348">
        <f t="shared" si="42"/>
        <v>4</v>
      </c>
      <c r="J348">
        <f t="shared" si="44"/>
        <v>0</v>
      </c>
      <c r="K348">
        <f t="shared" si="45"/>
        <v>0</v>
      </c>
      <c r="L348">
        <f t="shared" si="43"/>
        <v>-4</v>
      </c>
    </row>
    <row r="349" spans="1:12" x14ac:dyDescent="0.25">
      <c r="A349">
        <v>18</v>
      </c>
      <c r="B349" s="1">
        <v>45424</v>
      </c>
      <c r="C349" t="s">
        <v>4</v>
      </c>
      <c r="D349">
        <v>8</v>
      </c>
      <c r="E349">
        <v>8</v>
      </c>
      <c r="F349" t="s">
        <v>27</v>
      </c>
      <c r="G349">
        <f t="shared" si="46"/>
        <v>3</v>
      </c>
      <c r="H349">
        <f t="shared" si="41"/>
        <v>0</v>
      </c>
      <c r="I349">
        <f t="shared" si="42"/>
        <v>3</v>
      </c>
      <c r="J349">
        <f t="shared" si="44"/>
        <v>0</v>
      </c>
      <c r="K349">
        <f t="shared" si="45"/>
        <v>0</v>
      </c>
      <c r="L349">
        <f t="shared" si="43"/>
        <v>0</v>
      </c>
    </row>
    <row r="350" spans="1:12" x14ac:dyDescent="0.25">
      <c r="A350">
        <v>18</v>
      </c>
      <c r="B350" s="1">
        <v>45424</v>
      </c>
      <c r="C350" t="s">
        <v>4</v>
      </c>
      <c r="D350">
        <v>9</v>
      </c>
      <c r="E350">
        <v>11</v>
      </c>
      <c r="F350" t="s">
        <v>28</v>
      </c>
      <c r="G350">
        <f t="shared" si="46"/>
        <v>2</v>
      </c>
      <c r="H350">
        <f t="shared" si="41"/>
        <v>0</v>
      </c>
      <c r="I350">
        <f t="shared" si="42"/>
        <v>2</v>
      </c>
      <c r="J350">
        <f t="shared" si="44"/>
        <v>0</v>
      </c>
      <c r="K350">
        <f t="shared" si="45"/>
        <v>0</v>
      </c>
      <c r="L350">
        <f t="shared" si="43"/>
        <v>-2</v>
      </c>
    </row>
    <row r="351" spans="1:12" x14ac:dyDescent="0.25">
      <c r="A351">
        <v>18</v>
      </c>
      <c r="B351" s="1">
        <v>45424</v>
      </c>
      <c r="C351" t="s">
        <v>4</v>
      </c>
      <c r="D351">
        <v>10</v>
      </c>
      <c r="E351">
        <v>10</v>
      </c>
      <c r="F351" t="s">
        <v>24</v>
      </c>
      <c r="G351">
        <f t="shared" si="46"/>
        <v>1</v>
      </c>
      <c r="H351">
        <f t="shared" si="41"/>
        <v>0</v>
      </c>
      <c r="I351">
        <f t="shared" si="42"/>
        <v>1</v>
      </c>
      <c r="J351">
        <f t="shared" si="44"/>
        <v>0</v>
      </c>
      <c r="K351">
        <f t="shared" si="45"/>
        <v>0</v>
      </c>
      <c r="L351">
        <f t="shared" si="43"/>
        <v>0</v>
      </c>
    </row>
    <row r="352" spans="1:12" x14ac:dyDescent="0.25">
      <c r="A352">
        <v>18</v>
      </c>
      <c r="B352" s="1">
        <v>45424</v>
      </c>
      <c r="C352" t="s">
        <v>29</v>
      </c>
      <c r="D352">
        <v>1</v>
      </c>
      <c r="E352">
        <v>1</v>
      </c>
      <c r="F352" t="s">
        <v>45</v>
      </c>
      <c r="G352">
        <f t="shared" si="46"/>
        <v>10</v>
      </c>
      <c r="H352">
        <f t="shared" si="41"/>
        <v>9</v>
      </c>
      <c r="I352">
        <f t="shared" si="42"/>
        <v>19</v>
      </c>
      <c r="J352">
        <f t="shared" si="44"/>
        <v>1</v>
      </c>
      <c r="K352">
        <f t="shared" si="45"/>
        <v>1</v>
      </c>
      <c r="L352">
        <f t="shared" si="43"/>
        <v>0</v>
      </c>
    </row>
    <row r="353" spans="1:12" x14ac:dyDescent="0.25">
      <c r="A353">
        <v>18</v>
      </c>
      <c r="B353" s="1">
        <v>45424</v>
      </c>
      <c r="C353" t="s">
        <v>29</v>
      </c>
      <c r="D353">
        <v>2</v>
      </c>
      <c r="E353">
        <v>2</v>
      </c>
      <c r="F353" t="s">
        <v>44</v>
      </c>
      <c r="G353">
        <f t="shared" si="46"/>
        <v>9</v>
      </c>
      <c r="H353">
        <f t="shared" si="41"/>
        <v>7</v>
      </c>
      <c r="I353">
        <f t="shared" si="42"/>
        <v>16</v>
      </c>
      <c r="J353">
        <f t="shared" si="44"/>
        <v>0</v>
      </c>
      <c r="K353">
        <f t="shared" si="45"/>
        <v>1</v>
      </c>
      <c r="L353">
        <f t="shared" si="43"/>
        <v>0</v>
      </c>
    </row>
    <row r="354" spans="1:12" x14ac:dyDescent="0.25">
      <c r="A354">
        <v>18</v>
      </c>
      <c r="B354" s="1">
        <v>45424</v>
      </c>
      <c r="C354" t="s">
        <v>29</v>
      </c>
      <c r="D354">
        <v>3</v>
      </c>
      <c r="E354">
        <v>3</v>
      </c>
      <c r="F354" t="s">
        <v>49</v>
      </c>
      <c r="G354">
        <f t="shared" si="46"/>
        <v>8</v>
      </c>
      <c r="H354">
        <f t="shared" si="41"/>
        <v>5</v>
      </c>
      <c r="I354">
        <f t="shared" si="42"/>
        <v>13</v>
      </c>
      <c r="J354">
        <f t="shared" si="44"/>
        <v>0</v>
      </c>
      <c r="K354">
        <f t="shared" si="45"/>
        <v>1</v>
      </c>
      <c r="L354">
        <f t="shared" si="43"/>
        <v>0</v>
      </c>
    </row>
    <row r="355" spans="1:12" x14ac:dyDescent="0.25">
      <c r="A355">
        <v>18</v>
      </c>
      <c r="B355" s="1">
        <v>45424</v>
      </c>
      <c r="C355" t="s">
        <v>29</v>
      </c>
      <c r="D355">
        <v>4</v>
      </c>
      <c r="E355">
        <v>4</v>
      </c>
      <c r="F355" t="s">
        <v>46</v>
      </c>
      <c r="G355">
        <f t="shared" si="46"/>
        <v>7</v>
      </c>
      <c r="H355">
        <f t="shared" si="41"/>
        <v>3</v>
      </c>
      <c r="I355">
        <f t="shared" si="42"/>
        <v>10</v>
      </c>
      <c r="J355">
        <f t="shared" si="44"/>
        <v>0</v>
      </c>
      <c r="K355">
        <f t="shared" si="45"/>
        <v>0</v>
      </c>
      <c r="L355">
        <f t="shared" si="43"/>
        <v>0</v>
      </c>
    </row>
    <row r="356" spans="1:12" x14ac:dyDescent="0.25">
      <c r="A356">
        <v>18</v>
      </c>
      <c r="B356" s="1">
        <v>45424</v>
      </c>
      <c r="C356" t="s">
        <v>29</v>
      </c>
      <c r="D356">
        <v>5</v>
      </c>
      <c r="E356">
        <v>5</v>
      </c>
      <c r="F356" t="s">
        <v>51</v>
      </c>
      <c r="G356">
        <f t="shared" si="46"/>
        <v>6</v>
      </c>
      <c r="H356">
        <f t="shared" si="41"/>
        <v>1</v>
      </c>
      <c r="I356">
        <f t="shared" si="42"/>
        <v>7</v>
      </c>
      <c r="J356">
        <f t="shared" si="44"/>
        <v>0</v>
      </c>
      <c r="K356">
        <f t="shared" si="45"/>
        <v>0</v>
      </c>
      <c r="L356">
        <f t="shared" si="43"/>
        <v>0</v>
      </c>
    </row>
    <row r="357" spans="1:12" x14ac:dyDescent="0.25">
      <c r="A357">
        <v>18</v>
      </c>
      <c r="B357" s="1">
        <v>45424</v>
      </c>
      <c r="C357" t="s">
        <v>29</v>
      </c>
      <c r="D357">
        <v>6</v>
      </c>
      <c r="E357">
        <v>6</v>
      </c>
      <c r="F357" t="s">
        <v>50</v>
      </c>
      <c r="G357">
        <f t="shared" si="46"/>
        <v>5</v>
      </c>
      <c r="H357">
        <f t="shared" si="41"/>
        <v>0</v>
      </c>
      <c r="I357">
        <f t="shared" si="42"/>
        <v>5</v>
      </c>
      <c r="J357">
        <f t="shared" si="44"/>
        <v>0</v>
      </c>
      <c r="K357">
        <f t="shared" si="45"/>
        <v>0</v>
      </c>
      <c r="L357">
        <f t="shared" si="43"/>
        <v>0</v>
      </c>
    </row>
    <row r="358" spans="1:12" x14ac:dyDescent="0.25">
      <c r="A358">
        <v>18</v>
      </c>
      <c r="B358" s="1">
        <v>45424</v>
      </c>
      <c r="C358" t="s">
        <v>29</v>
      </c>
      <c r="D358">
        <v>7</v>
      </c>
      <c r="E358">
        <v>7</v>
      </c>
      <c r="F358" t="s">
        <v>61</v>
      </c>
      <c r="G358">
        <f t="shared" si="46"/>
        <v>4</v>
      </c>
      <c r="H358">
        <f t="shared" si="41"/>
        <v>0</v>
      </c>
      <c r="I358">
        <f t="shared" si="42"/>
        <v>4</v>
      </c>
      <c r="J358">
        <f t="shared" si="44"/>
        <v>0</v>
      </c>
      <c r="K358">
        <f t="shared" si="45"/>
        <v>0</v>
      </c>
      <c r="L358">
        <f t="shared" si="43"/>
        <v>0</v>
      </c>
    </row>
    <row r="359" spans="1:12" x14ac:dyDescent="0.25">
      <c r="A359">
        <v>18</v>
      </c>
      <c r="B359" s="1">
        <v>45424</v>
      </c>
      <c r="C359" t="s">
        <v>29</v>
      </c>
      <c r="D359">
        <v>8</v>
      </c>
      <c r="E359">
        <v>8</v>
      </c>
      <c r="F359" t="s">
        <v>48</v>
      </c>
      <c r="G359">
        <f t="shared" si="46"/>
        <v>3</v>
      </c>
      <c r="H359">
        <f t="shared" si="41"/>
        <v>0</v>
      </c>
      <c r="I359">
        <f t="shared" si="42"/>
        <v>3</v>
      </c>
      <c r="J359">
        <f t="shared" si="44"/>
        <v>0</v>
      </c>
      <c r="K359">
        <f t="shared" si="45"/>
        <v>0</v>
      </c>
      <c r="L359">
        <f t="shared" si="43"/>
        <v>0</v>
      </c>
    </row>
    <row r="360" spans="1:12" x14ac:dyDescent="0.25">
      <c r="A360">
        <v>18</v>
      </c>
      <c r="B360" s="1">
        <v>45424</v>
      </c>
      <c r="C360" t="s">
        <v>29</v>
      </c>
      <c r="D360">
        <v>9</v>
      </c>
      <c r="E360">
        <v>10</v>
      </c>
      <c r="F360" t="s">
        <v>47</v>
      </c>
      <c r="G360">
        <f t="shared" si="46"/>
        <v>2</v>
      </c>
      <c r="H360">
        <f t="shared" si="41"/>
        <v>0</v>
      </c>
      <c r="I360">
        <f t="shared" si="42"/>
        <v>2</v>
      </c>
      <c r="J360">
        <f t="shared" si="44"/>
        <v>0</v>
      </c>
      <c r="K360">
        <f t="shared" si="45"/>
        <v>0</v>
      </c>
      <c r="L360">
        <f t="shared" si="43"/>
        <v>-1</v>
      </c>
    </row>
    <row r="361" spans="1:12" x14ac:dyDescent="0.25">
      <c r="A361">
        <v>18</v>
      </c>
      <c r="B361" s="1">
        <v>45424</v>
      </c>
      <c r="C361" t="s">
        <v>29</v>
      </c>
      <c r="D361">
        <v>10</v>
      </c>
      <c r="E361">
        <v>9</v>
      </c>
      <c r="F361" t="s">
        <v>52</v>
      </c>
      <c r="G361">
        <f t="shared" si="46"/>
        <v>1</v>
      </c>
      <c r="H361">
        <f t="shared" si="41"/>
        <v>0</v>
      </c>
      <c r="I361">
        <f t="shared" si="42"/>
        <v>1</v>
      </c>
      <c r="J361">
        <f t="shared" si="44"/>
        <v>0</v>
      </c>
      <c r="K361">
        <f t="shared" si="45"/>
        <v>0</v>
      </c>
      <c r="L361">
        <f t="shared" si="43"/>
        <v>1</v>
      </c>
    </row>
    <row r="362" spans="1:12" x14ac:dyDescent="0.25">
      <c r="A362">
        <v>19</v>
      </c>
      <c r="B362" s="1">
        <v>45431</v>
      </c>
      <c r="C362" t="s">
        <v>4</v>
      </c>
      <c r="D362">
        <v>1</v>
      </c>
      <c r="E362">
        <v>2</v>
      </c>
      <c r="F362" t="s">
        <v>19</v>
      </c>
      <c r="G362">
        <f t="shared" ref="G362:G381" si="47">11-D362</f>
        <v>10</v>
      </c>
      <c r="H362">
        <f t="shared" si="41"/>
        <v>9</v>
      </c>
      <c r="I362">
        <f t="shared" si="42"/>
        <v>19</v>
      </c>
      <c r="J362">
        <f t="shared" si="44"/>
        <v>1</v>
      </c>
      <c r="K362">
        <f t="shared" si="45"/>
        <v>1</v>
      </c>
      <c r="L362">
        <f t="shared" si="43"/>
        <v>-1</v>
      </c>
    </row>
    <row r="363" spans="1:12" x14ac:dyDescent="0.25">
      <c r="A363">
        <v>19</v>
      </c>
      <c r="B363" s="1">
        <v>45431</v>
      </c>
      <c r="C363" t="s">
        <v>4</v>
      </c>
      <c r="D363">
        <v>2</v>
      </c>
      <c r="E363">
        <v>1</v>
      </c>
      <c r="F363" t="s">
        <v>21</v>
      </c>
      <c r="G363">
        <f t="shared" si="47"/>
        <v>9</v>
      </c>
      <c r="H363">
        <f t="shared" si="41"/>
        <v>7</v>
      </c>
      <c r="I363">
        <f t="shared" si="42"/>
        <v>16</v>
      </c>
      <c r="J363">
        <f t="shared" si="44"/>
        <v>0</v>
      </c>
      <c r="K363">
        <f t="shared" si="45"/>
        <v>1</v>
      </c>
      <c r="L363">
        <f t="shared" si="43"/>
        <v>1</v>
      </c>
    </row>
    <row r="364" spans="1:12" x14ac:dyDescent="0.25">
      <c r="A364">
        <v>19</v>
      </c>
      <c r="B364" s="1">
        <v>45431</v>
      </c>
      <c r="C364" t="s">
        <v>4</v>
      </c>
      <c r="D364">
        <v>3</v>
      </c>
      <c r="E364">
        <v>3</v>
      </c>
      <c r="F364" t="s">
        <v>22</v>
      </c>
      <c r="G364">
        <f t="shared" si="47"/>
        <v>8</v>
      </c>
      <c r="H364">
        <f t="shared" si="41"/>
        <v>5</v>
      </c>
      <c r="I364">
        <f t="shared" si="42"/>
        <v>13</v>
      </c>
      <c r="J364">
        <f t="shared" si="44"/>
        <v>0</v>
      </c>
      <c r="K364">
        <f t="shared" si="45"/>
        <v>1</v>
      </c>
      <c r="L364">
        <f t="shared" si="43"/>
        <v>0</v>
      </c>
    </row>
    <row r="365" spans="1:12" x14ac:dyDescent="0.25">
      <c r="A365">
        <v>19</v>
      </c>
      <c r="B365" s="1">
        <v>45431</v>
      </c>
      <c r="C365" t="s">
        <v>4</v>
      </c>
      <c r="D365">
        <v>4</v>
      </c>
      <c r="E365">
        <v>4</v>
      </c>
      <c r="F365" t="s">
        <v>26</v>
      </c>
      <c r="G365">
        <f t="shared" si="47"/>
        <v>7</v>
      </c>
      <c r="H365">
        <f t="shared" si="41"/>
        <v>3</v>
      </c>
      <c r="I365">
        <f t="shared" si="42"/>
        <v>10</v>
      </c>
      <c r="J365">
        <f t="shared" si="44"/>
        <v>0</v>
      </c>
      <c r="K365">
        <f t="shared" si="45"/>
        <v>0</v>
      </c>
      <c r="L365">
        <f t="shared" si="43"/>
        <v>0</v>
      </c>
    </row>
    <row r="366" spans="1:12" x14ac:dyDescent="0.25">
      <c r="A366">
        <v>19</v>
      </c>
      <c r="B366" s="1">
        <v>45431</v>
      </c>
      <c r="C366" t="s">
        <v>4</v>
      </c>
      <c r="D366">
        <v>5</v>
      </c>
      <c r="E366">
        <v>5</v>
      </c>
      <c r="F366" t="s">
        <v>25</v>
      </c>
      <c r="G366">
        <f t="shared" si="47"/>
        <v>6</v>
      </c>
      <c r="H366">
        <f t="shared" si="41"/>
        <v>1</v>
      </c>
      <c r="I366">
        <f t="shared" si="42"/>
        <v>7</v>
      </c>
      <c r="J366">
        <f t="shared" si="44"/>
        <v>0</v>
      </c>
      <c r="K366">
        <f t="shared" si="45"/>
        <v>0</v>
      </c>
      <c r="L366">
        <f t="shared" si="43"/>
        <v>0</v>
      </c>
    </row>
    <row r="367" spans="1:12" x14ac:dyDescent="0.25">
      <c r="A367">
        <v>19</v>
      </c>
      <c r="B367" s="1">
        <v>45431</v>
      </c>
      <c r="C367" t="s">
        <v>4</v>
      </c>
      <c r="D367">
        <v>6</v>
      </c>
      <c r="E367">
        <v>6</v>
      </c>
      <c r="F367" t="s">
        <v>9</v>
      </c>
      <c r="G367">
        <f t="shared" si="47"/>
        <v>5</v>
      </c>
      <c r="H367">
        <f t="shared" si="41"/>
        <v>0</v>
      </c>
      <c r="I367">
        <f t="shared" si="42"/>
        <v>5</v>
      </c>
      <c r="J367">
        <f t="shared" si="44"/>
        <v>0</v>
      </c>
      <c r="K367">
        <f t="shared" si="45"/>
        <v>0</v>
      </c>
      <c r="L367">
        <f t="shared" si="43"/>
        <v>0</v>
      </c>
    </row>
    <row r="368" spans="1:12" x14ac:dyDescent="0.25">
      <c r="A368">
        <v>19</v>
      </c>
      <c r="B368" s="1">
        <v>45431</v>
      </c>
      <c r="C368" t="s">
        <v>4</v>
      </c>
      <c r="D368">
        <v>7</v>
      </c>
      <c r="E368">
        <v>7</v>
      </c>
      <c r="F368" t="s">
        <v>16</v>
      </c>
      <c r="G368">
        <f t="shared" si="47"/>
        <v>4</v>
      </c>
      <c r="H368">
        <f t="shared" si="41"/>
        <v>0</v>
      </c>
      <c r="I368">
        <f t="shared" si="42"/>
        <v>4</v>
      </c>
      <c r="J368">
        <f t="shared" si="44"/>
        <v>0</v>
      </c>
      <c r="K368">
        <f t="shared" si="45"/>
        <v>0</v>
      </c>
      <c r="L368">
        <f t="shared" si="43"/>
        <v>0</v>
      </c>
    </row>
    <row r="369" spans="1:12" x14ac:dyDescent="0.25">
      <c r="A369">
        <v>19</v>
      </c>
      <c r="B369" s="1">
        <v>45431</v>
      </c>
      <c r="C369" t="s">
        <v>4</v>
      </c>
      <c r="D369">
        <v>8</v>
      </c>
      <c r="E369">
        <v>9</v>
      </c>
      <c r="F369" t="s">
        <v>28</v>
      </c>
      <c r="G369">
        <f t="shared" si="47"/>
        <v>3</v>
      </c>
      <c r="H369">
        <f t="shared" si="41"/>
        <v>0</v>
      </c>
      <c r="I369">
        <f t="shared" si="42"/>
        <v>3</v>
      </c>
      <c r="J369">
        <f t="shared" si="44"/>
        <v>0</v>
      </c>
      <c r="K369">
        <f t="shared" si="45"/>
        <v>0</v>
      </c>
      <c r="L369">
        <f t="shared" si="43"/>
        <v>-1</v>
      </c>
    </row>
    <row r="370" spans="1:12" x14ac:dyDescent="0.25">
      <c r="A370">
        <v>19</v>
      </c>
      <c r="B370" s="1">
        <v>45431</v>
      </c>
      <c r="C370" t="s">
        <v>4</v>
      </c>
      <c r="D370">
        <v>9</v>
      </c>
      <c r="E370">
        <v>10</v>
      </c>
      <c r="F370" t="s">
        <v>24</v>
      </c>
      <c r="G370">
        <f t="shared" si="47"/>
        <v>2</v>
      </c>
      <c r="H370">
        <f t="shared" si="41"/>
        <v>0</v>
      </c>
      <c r="I370">
        <f t="shared" si="42"/>
        <v>2</v>
      </c>
      <c r="J370">
        <f t="shared" si="44"/>
        <v>0</v>
      </c>
      <c r="K370">
        <f t="shared" si="45"/>
        <v>0</v>
      </c>
      <c r="L370">
        <f t="shared" si="43"/>
        <v>-1</v>
      </c>
    </row>
    <row r="371" spans="1:12" x14ac:dyDescent="0.25">
      <c r="A371">
        <v>19</v>
      </c>
      <c r="B371" s="1">
        <v>45431</v>
      </c>
      <c r="C371" t="s">
        <v>4</v>
      </c>
      <c r="D371">
        <v>10</v>
      </c>
      <c r="E371">
        <v>8</v>
      </c>
      <c r="F371" t="s">
        <v>27</v>
      </c>
      <c r="G371">
        <f t="shared" si="47"/>
        <v>1</v>
      </c>
      <c r="H371">
        <f t="shared" si="41"/>
        <v>0</v>
      </c>
      <c r="I371">
        <f t="shared" si="42"/>
        <v>1</v>
      </c>
      <c r="J371">
        <f t="shared" si="44"/>
        <v>0</v>
      </c>
      <c r="K371">
        <f t="shared" si="45"/>
        <v>0</v>
      </c>
      <c r="L371">
        <f t="shared" si="43"/>
        <v>2</v>
      </c>
    </row>
    <row r="372" spans="1:12" x14ac:dyDescent="0.25">
      <c r="A372">
        <v>19</v>
      </c>
      <c r="B372" s="1">
        <v>45431</v>
      </c>
      <c r="C372" t="s">
        <v>29</v>
      </c>
      <c r="D372">
        <v>1</v>
      </c>
      <c r="E372">
        <v>1</v>
      </c>
      <c r="F372" t="s">
        <v>45</v>
      </c>
      <c r="G372">
        <f t="shared" si="47"/>
        <v>10</v>
      </c>
      <c r="H372">
        <f t="shared" si="41"/>
        <v>9</v>
      </c>
      <c r="I372">
        <f t="shared" si="42"/>
        <v>19</v>
      </c>
      <c r="J372">
        <f t="shared" si="44"/>
        <v>1</v>
      </c>
      <c r="K372">
        <f t="shared" si="45"/>
        <v>1</v>
      </c>
      <c r="L372">
        <f t="shared" si="43"/>
        <v>0</v>
      </c>
    </row>
    <row r="373" spans="1:12" x14ac:dyDescent="0.25">
      <c r="A373">
        <v>19</v>
      </c>
      <c r="B373" s="1">
        <v>45431</v>
      </c>
      <c r="C373" t="s">
        <v>29</v>
      </c>
      <c r="D373">
        <v>2</v>
      </c>
      <c r="E373">
        <v>2</v>
      </c>
      <c r="F373" t="s">
        <v>44</v>
      </c>
      <c r="G373">
        <f t="shared" si="47"/>
        <v>9</v>
      </c>
      <c r="H373">
        <f t="shared" si="41"/>
        <v>7</v>
      </c>
      <c r="I373">
        <f t="shared" si="42"/>
        <v>16</v>
      </c>
      <c r="J373">
        <f t="shared" si="44"/>
        <v>0</v>
      </c>
      <c r="K373">
        <f t="shared" si="45"/>
        <v>1</v>
      </c>
      <c r="L373">
        <f t="shared" si="43"/>
        <v>0</v>
      </c>
    </row>
    <row r="374" spans="1:12" x14ac:dyDescent="0.25">
      <c r="A374">
        <v>19</v>
      </c>
      <c r="B374" s="1">
        <v>45431</v>
      </c>
      <c r="C374" t="s">
        <v>29</v>
      </c>
      <c r="D374">
        <v>3</v>
      </c>
      <c r="E374">
        <v>3</v>
      </c>
      <c r="F374" t="s">
        <v>49</v>
      </c>
      <c r="G374">
        <f t="shared" si="47"/>
        <v>8</v>
      </c>
      <c r="H374">
        <f t="shared" si="41"/>
        <v>5</v>
      </c>
      <c r="I374">
        <f t="shared" si="42"/>
        <v>13</v>
      </c>
      <c r="J374">
        <f t="shared" si="44"/>
        <v>0</v>
      </c>
      <c r="K374">
        <f t="shared" si="45"/>
        <v>1</v>
      </c>
      <c r="L374">
        <f t="shared" si="43"/>
        <v>0</v>
      </c>
    </row>
    <row r="375" spans="1:12" x14ac:dyDescent="0.25">
      <c r="A375">
        <v>19</v>
      </c>
      <c r="B375" s="1">
        <v>45431</v>
      </c>
      <c r="C375" t="s">
        <v>29</v>
      </c>
      <c r="D375">
        <v>4</v>
      </c>
      <c r="E375">
        <v>4</v>
      </c>
      <c r="F375" t="s">
        <v>46</v>
      </c>
      <c r="G375">
        <f t="shared" si="47"/>
        <v>7</v>
      </c>
      <c r="H375">
        <f t="shared" si="41"/>
        <v>3</v>
      </c>
      <c r="I375">
        <f t="shared" si="42"/>
        <v>10</v>
      </c>
      <c r="J375">
        <f t="shared" si="44"/>
        <v>0</v>
      </c>
      <c r="K375">
        <f t="shared" si="45"/>
        <v>0</v>
      </c>
      <c r="L375">
        <f t="shared" si="43"/>
        <v>0</v>
      </c>
    </row>
    <row r="376" spans="1:12" x14ac:dyDescent="0.25">
      <c r="A376">
        <v>19</v>
      </c>
      <c r="B376" s="1">
        <v>45431</v>
      </c>
      <c r="C376" t="s">
        <v>29</v>
      </c>
      <c r="D376">
        <v>5</v>
      </c>
      <c r="E376">
        <v>5</v>
      </c>
      <c r="F376" t="s">
        <v>51</v>
      </c>
      <c r="G376">
        <f t="shared" si="47"/>
        <v>6</v>
      </c>
      <c r="H376">
        <f t="shared" si="41"/>
        <v>1</v>
      </c>
      <c r="I376">
        <f t="shared" si="42"/>
        <v>7</v>
      </c>
      <c r="J376">
        <f t="shared" si="44"/>
        <v>0</v>
      </c>
      <c r="K376">
        <f t="shared" si="45"/>
        <v>0</v>
      </c>
      <c r="L376">
        <f t="shared" si="43"/>
        <v>0</v>
      </c>
    </row>
    <row r="377" spans="1:12" x14ac:dyDescent="0.25">
      <c r="A377">
        <v>19</v>
      </c>
      <c r="B377" s="1">
        <v>45431</v>
      </c>
      <c r="C377" t="s">
        <v>29</v>
      </c>
      <c r="D377">
        <v>6</v>
      </c>
      <c r="E377">
        <v>6</v>
      </c>
      <c r="F377" t="s">
        <v>50</v>
      </c>
      <c r="G377">
        <f t="shared" si="47"/>
        <v>5</v>
      </c>
      <c r="H377">
        <f t="shared" si="41"/>
        <v>0</v>
      </c>
      <c r="I377">
        <f t="shared" si="42"/>
        <v>5</v>
      </c>
      <c r="J377">
        <f t="shared" si="44"/>
        <v>0</v>
      </c>
      <c r="K377">
        <f t="shared" si="45"/>
        <v>0</v>
      </c>
      <c r="L377">
        <f t="shared" si="43"/>
        <v>0</v>
      </c>
    </row>
    <row r="378" spans="1:12" x14ac:dyDescent="0.25">
      <c r="A378">
        <v>19</v>
      </c>
      <c r="B378" s="1">
        <v>45431</v>
      </c>
      <c r="C378" t="s">
        <v>29</v>
      </c>
      <c r="D378">
        <v>7</v>
      </c>
      <c r="E378">
        <v>11</v>
      </c>
      <c r="F378" t="s">
        <v>53</v>
      </c>
      <c r="G378">
        <f t="shared" si="47"/>
        <v>4</v>
      </c>
      <c r="H378">
        <f t="shared" si="41"/>
        <v>0</v>
      </c>
      <c r="I378">
        <f t="shared" si="42"/>
        <v>4</v>
      </c>
      <c r="J378">
        <f t="shared" si="44"/>
        <v>0</v>
      </c>
      <c r="K378">
        <f t="shared" si="45"/>
        <v>0</v>
      </c>
      <c r="L378">
        <f t="shared" si="43"/>
        <v>-4</v>
      </c>
    </row>
    <row r="379" spans="1:12" x14ac:dyDescent="0.25">
      <c r="A379">
        <v>19</v>
      </c>
      <c r="B379" s="1">
        <v>45431</v>
      </c>
      <c r="C379" t="s">
        <v>29</v>
      </c>
      <c r="D379">
        <v>8</v>
      </c>
      <c r="E379">
        <v>8</v>
      </c>
      <c r="F379" t="s">
        <v>48</v>
      </c>
      <c r="G379">
        <f t="shared" si="47"/>
        <v>3</v>
      </c>
      <c r="H379">
        <f t="shared" si="41"/>
        <v>0</v>
      </c>
      <c r="I379">
        <f t="shared" si="42"/>
        <v>3</v>
      </c>
      <c r="J379">
        <f t="shared" si="44"/>
        <v>0</v>
      </c>
      <c r="K379">
        <f t="shared" si="45"/>
        <v>0</v>
      </c>
      <c r="L379">
        <f t="shared" si="43"/>
        <v>0</v>
      </c>
    </row>
    <row r="380" spans="1:12" x14ac:dyDescent="0.25">
      <c r="A380">
        <v>19</v>
      </c>
      <c r="B380" s="1">
        <v>45431</v>
      </c>
      <c r="C380" t="s">
        <v>29</v>
      </c>
      <c r="D380">
        <v>9</v>
      </c>
      <c r="E380">
        <v>9</v>
      </c>
      <c r="F380" t="s">
        <v>47</v>
      </c>
      <c r="G380">
        <f t="shared" si="47"/>
        <v>2</v>
      </c>
      <c r="H380">
        <f t="shared" si="41"/>
        <v>0</v>
      </c>
      <c r="I380">
        <f t="shared" si="42"/>
        <v>2</v>
      </c>
      <c r="J380">
        <f t="shared" si="44"/>
        <v>0</v>
      </c>
      <c r="K380">
        <f t="shared" si="45"/>
        <v>0</v>
      </c>
      <c r="L380">
        <f t="shared" si="43"/>
        <v>0</v>
      </c>
    </row>
    <row r="381" spans="1:12" x14ac:dyDescent="0.25">
      <c r="A381">
        <v>19</v>
      </c>
      <c r="B381" s="1">
        <v>45431</v>
      </c>
      <c r="C381" t="s">
        <v>29</v>
      </c>
      <c r="D381">
        <v>10</v>
      </c>
      <c r="E381">
        <v>10</v>
      </c>
      <c r="F381" t="s">
        <v>52</v>
      </c>
      <c r="G381">
        <f t="shared" si="47"/>
        <v>1</v>
      </c>
      <c r="H381">
        <f t="shared" si="41"/>
        <v>0</v>
      </c>
      <c r="I381">
        <f t="shared" si="42"/>
        <v>1</v>
      </c>
      <c r="J381">
        <f t="shared" si="44"/>
        <v>0</v>
      </c>
      <c r="K381">
        <f t="shared" si="45"/>
        <v>0</v>
      </c>
      <c r="L381">
        <f t="shared" si="43"/>
        <v>0</v>
      </c>
    </row>
    <row r="382" spans="1:12" x14ac:dyDescent="0.25">
      <c r="A382">
        <v>20</v>
      </c>
      <c r="B382" s="1">
        <v>45452</v>
      </c>
      <c r="C382" t="s">
        <v>4</v>
      </c>
      <c r="D382">
        <v>1</v>
      </c>
      <c r="E382">
        <v>1</v>
      </c>
      <c r="F382" t="s">
        <v>19</v>
      </c>
      <c r="G382">
        <f t="shared" si="14"/>
        <v>10</v>
      </c>
      <c r="H382">
        <f t="shared" si="41"/>
        <v>9</v>
      </c>
      <c r="I382">
        <f t="shared" si="42"/>
        <v>19</v>
      </c>
      <c r="J382">
        <f t="shared" si="44"/>
        <v>1</v>
      </c>
      <c r="K382">
        <f t="shared" si="45"/>
        <v>1</v>
      </c>
      <c r="L382">
        <f t="shared" si="43"/>
        <v>0</v>
      </c>
    </row>
    <row r="383" spans="1:12" x14ac:dyDescent="0.25">
      <c r="A383">
        <v>20</v>
      </c>
      <c r="B383" s="1">
        <v>45452</v>
      </c>
      <c r="C383" t="s">
        <v>4</v>
      </c>
      <c r="D383">
        <v>2</v>
      </c>
      <c r="E383">
        <v>2</v>
      </c>
      <c r="F383" t="s">
        <v>21</v>
      </c>
      <c r="G383">
        <f t="shared" si="14"/>
        <v>9</v>
      </c>
      <c r="H383">
        <f t="shared" si="41"/>
        <v>7</v>
      </c>
      <c r="I383">
        <f t="shared" si="42"/>
        <v>16</v>
      </c>
      <c r="J383">
        <f t="shared" si="44"/>
        <v>0</v>
      </c>
      <c r="K383">
        <f t="shared" si="45"/>
        <v>1</v>
      </c>
      <c r="L383">
        <f t="shared" si="43"/>
        <v>0</v>
      </c>
    </row>
    <row r="384" spans="1:12" x14ac:dyDescent="0.25">
      <c r="A384">
        <v>20</v>
      </c>
      <c r="B384" s="1">
        <v>45452</v>
      </c>
      <c r="C384" t="s">
        <v>4</v>
      </c>
      <c r="D384">
        <v>3</v>
      </c>
      <c r="E384">
        <v>3</v>
      </c>
      <c r="F384" t="s">
        <v>22</v>
      </c>
      <c r="G384">
        <f t="shared" si="14"/>
        <v>8</v>
      </c>
      <c r="H384">
        <f t="shared" si="41"/>
        <v>5</v>
      </c>
      <c r="I384">
        <f t="shared" si="42"/>
        <v>13</v>
      </c>
      <c r="J384">
        <f t="shared" si="44"/>
        <v>0</v>
      </c>
      <c r="K384">
        <f t="shared" si="45"/>
        <v>1</v>
      </c>
      <c r="L384">
        <f t="shared" si="43"/>
        <v>0</v>
      </c>
    </row>
    <row r="385" spans="1:12" x14ac:dyDescent="0.25">
      <c r="A385">
        <v>20</v>
      </c>
      <c r="B385" s="1">
        <v>45452</v>
      </c>
      <c r="C385" t="s">
        <v>4</v>
      </c>
      <c r="D385">
        <v>4</v>
      </c>
      <c r="E385">
        <v>4</v>
      </c>
      <c r="F385" t="s">
        <v>26</v>
      </c>
      <c r="G385">
        <f t="shared" si="14"/>
        <v>7</v>
      </c>
      <c r="H385">
        <f t="shared" si="41"/>
        <v>3</v>
      </c>
      <c r="I385">
        <f t="shared" si="42"/>
        <v>10</v>
      </c>
      <c r="J385">
        <f t="shared" si="44"/>
        <v>0</v>
      </c>
      <c r="K385">
        <f t="shared" si="45"/>
        <v>0</v>
      </c>
      <c r="L385">
        <f t="shared" si="43"/>
        <v>0</v>
      </c>
    </row>
    <row r="386" spans="1:12" x14ac:dyDescent="0.25">
      <c r="A386">
        <v>20</v>
      </c>
      <c r="B386" s="1">
        <v>45452</v>
      </c>
      <c r="C386" t="s">
        <v>4</v>
      </c>
      <c r="D386">
        <v>5</v>
      </c>
      <c r="E386">
        <v>5</v>
      </c>
      <c r="F386" t="s">
        <v>25</v>
      </c>
      <c r="G386">
        <f t="shared" si="14"/>
        <v>6</v>
      </c>
      <c r="H386">
        <f t="shared" si="41"/>
        <v>1</v>
      </c>
      <c r="I386">
        <f t="shared" si="42"/>
        <v>7</v>
      </c>
      <c r="J386">
        <f t="shared" si="44"/>
        <v>0</v>
      </c>
      <c r="K386">
        <f t="shared" si="45"/>
        <v>0</v>
      </c>
      <c r="L386">
        <f t="shared" si="43"/>
        <v>0</v>
      </c>
    </row>
    <row r="387" spans="1:12" x14ac:dyDescent="0.25">
      <c r="A387">
        <v>20</v>
      </c>
      <c r="B387" s="1">
        <v>45452</v>
      </c>
      <c r="C387" t="s">
        <v>4</v>
      </c>
      <c r="D387">
        <v>6</v>
      </c>
      <c r="E387">
        <v>6</v>
      </c>
      <c r="F387" t="s">
        <v>9</v>
      </c>
      <c r="G387">
        <f t="shared" si="14"/>
        <v>5</v>
      </c>
      <c r="H387">
        <f t="shared" ref="H387:H450" si="48">IF(D387&lt;6,11-2*D387,0)</f>
        <v>0</v>
      </c>
      <c r="I387">
        <f t="shared" ref="I387:I450" si="49">G387+H387</f>
        <v>5</v>
      </c>
      <c r="J387">
        <f t="shared" si="44"/>
        <v>0</v>
      </c>
      <c r="K387">
        <f t="shared" si="45"/>
        <v>0</v>
      </c>
      <c r="L387">
        <f t="shared" ref="L387:L450" si="50">D387-E387</f>
        <v>0</v>
      </c>
    </row>
    <row r="388" spans="1:12" x14ac:dyDescent="0.25">
      <c r="A388">
        <v>20</v>
      </c>
      <c r="B388" s="1">
        <v>45452</v>
      </c>
      <c r="C388" t="s">
        <v>4</v>
      </c>
      <c r="D388">
        <v>7</v>
      </c>
      <c r="E388">
        <v>7</v>
      </c>
      <c r="F388" t="s">
        <v>16</v>
      </c>
      <c r="G388">
        <f t="shared" si="14"/>
        <v>4</v>
      </c>
      <c r="H388">
        <f t="shared" si="48"/>
        <v>0</v>
      </c>
      <c r="I388">
        <f t="shared" si="49"/>
        <v>4</v>
      </c>
      <c r="J388">
        <f t="shared" si="44"/>
        <v>0</v>
      </c>
      <c r="K388">
        <f t="shared" si="45"/>
        <v>0</v>
      </c>
      <c r="L388">
        <f t="shared" si="50"/>
        <v>0</v>
      </c>
    </row>
    <row r="389" spans="1:12" x14ac:dyDescent="0.25">
      <c r="A389">
        <v>20</v>
      </c>
      <c r="B389" s="1">
        <v>45452</v>
      </c>
      <c r="C389" t="s">
        <v>4</v>
      </c>
      <c r="D389">
        <v>8</v>
      </c>
      <c r="E389">
        <v>8</v>
      </c>
      <c r="F389" t="s">
        <v>28</v>
      </c>
      <c r="G389">
        <f t="shared" si="14"/>
        <v>3</v>
      </c>
      <c r="H389">
        <f t="shared" si="48"/>
        <v>0</v>
      </c>
      <c r="I389">
        <f t="shared" si="49"/>
        <v>3</v>
      </c>
      <c r="J389">
        <f t="shared" si="44"/>
        <v>0</v>
      </c>
      <c r="K389">
        <f t="shared" si="45"/>
        <v>0</v>
      </c>
      <c r="L389">
        <f t="shared" si="50"/>
        <v>0</v>
      </c>
    </row>
    <row r="390" spans="1:12" x14ac:dyDescent="0.25">
      <c r="A390">
        <v>20</v>
      </c>
      <c r="B390" s="1">
        <v>45452</v>
      </c>
      <c r="C390" t="s">
        <v>4</v>
      </c>
      <c r="D390">
        <v>9</v>
      </c>
      <c r="E390">
        <v>9</v>
      </c>
      <c r="F390" t="s">
        <v>24</v>
      </c>
      <c r="G390">
        <f t="shared" si="14"/>
        <v>2</v>
      </c>
      <c r="H390">
        <f t="shared" si="48"/>
        <v>0</v>
      </c>
      <c r="I390">
        <f t="shared" si="49"/>
        <v>2</v>
      </c>
      <c r="J390">
        <f t="shared" si="44"/>
        <v>0</v>
      </c>
      <c r="K390">
        <f t="shared" si="45"/>
        <v>0</v>
      </c>
      <c r="L390">
        <f t="shared" si="50"/>
        <v>0</v>
      </c>
    </row>
    <row r="391" spans="1:12" x14ac:dyDescent="0.25">
      <c r="A391">
        <v>20</v>
      </c>
      <c r="B391" s="1">
        <v>45452</v>
      </c>
      <c r="C391" t="s">
        <v>4</v>
      </c>
      <c r="D391">
        <v>10</v>
      </c>
      <c r="E391">
        <v>10</v>
      </c>
      <c r="F391" t="s">
        <v>27</v>
      </c>
      <c r="G391">
        <f t="shared" si="14"/>
        <v>1</v>
      </c>
      <c r="H391">
        <f t="shared" si="48"/>
        <v>0</v>
      </c>
      <c r="I391">
        <f t="shared" si="49"/>
        <v>1</v>
      </c>
      <c r="J391">
        <f t="shared" si="44"/>
        <v>0</v>
      </c>
      <c r="K391">
        <f t="shared" si="45"/>
        <v>0</v>
      </c>
      <c r="L391">
        <f t="shared" si="50"/>
        <v>0</v>
      </c>
    </row>
    <row r="392" spans="1:12" x14ac:dyDescent="0.25">
      <c r="A392">
        <v>20</v>
      </c>
      <c r="B392" s="1">
        <v>45452</v>
      </c>
      <c r="C392" t="s">
        <v>29</v>
      </c>
      <c r="D392">
        <v>1</v>
      </c>
      <c r="E392">
        <v>1</v>
      </c>
      <c r="F392" t="s">
        <v>45</v>
      </c>
      <c r="G392">
        <f t="shared" si="14"/>
        <v>10</v>
      </c>
      <c r="H392">
        <f t="shared" si="48"/>
        <v>9</v>
      </c>
      <c r="I392">
        <f t="shared" si="49"/>
        <v>19</v>
      </c>
      <c r="J392">
        <f t="shared" si="44"/>
        <v>1</v>
      </c>
      <c r="K392">
        <f t="shared" si="45"/>
        <v>1</v>
      </c>
      <c r="L392">
        <f t="shared" si="50"/>
        <v>0</v>
      </c>
    </row>
    <row r="393" spans="1:12" x14ac:dyDescent="0.25">
      <c r="A393">
        <v>20</v>
      </c>
      <c r="B393" s="1">
        <v>45452</v>
      </c>
      <c r="C393" t="s">
        <v>29</v>
      </c>
      <c r="D393">
        <v>2</v>
      </c>
      <c r="E393">
        <v>2</v>
      </c>
      <c r="F393" t="s">
        <v>44</v>
      </c>
      <c r="G393">
        <f t="shared" si="14"/>
        <v>9</v>
      </c>
      <c r="H393">
        <f t="shared" si="48"/>
        <v>7</v>
      </c>
      <c r="I393">
        <f t="shared" si="49"/>
        <v>16</v>
      </c>
      <c r="J393">
        <f t="shared" si="44"/>
        <v>0</v>
      </c>
      <c r="K393">
        <f t="shared" si="45"/>
        <v>1</v>
      </c>
      <c r="L393">
        <f t="shared" si="50"/>
        <v>0</v>
      </c>
    </row>
    <row r="394" spans="1:12" x14ac:dyDescent="0.25">
      <c r="A394">
        <v>20</v>
      </c>
      <c r="B394" s="1">
        <v>45452</v>
      </c>
      <c r="C394" t="s">
        <v>29</v>
      </c>
      <c r="D394">
        <v>3</v>
      </c>
      <c r="E394">
        <v>3</v>
      </c>
      <c r="F394" t="s">
        <v>49</v>
      </c>
      <c r="G394">
        <f t="shared" si="14"/>
        <v>8</v>
      </c>
      <c r="H394">
        <f t="shared" si="48"/>
        <v>5</v>
      </c>
      <c r="I394">
        <f t="shared" si="49"/>
        <v>13</v>
      </c>
      <c r="J394">
        <f t="shared" si="44"/>
        <v>0</v>
      </c>
      <c r="K394">
        <f t="shared" si="45"/>
        <v>1</v>
      </c>
      <c r="L394">
        <f t="shared" si="50"/>
        <v>0</v>
      </c>
    </row>
    <row r="395" spans="1:12" x14ac:dyDescent="0.25">
      <c r="A395">
        <v>20</v>
      </c>
      <c r="B395" s="1">
        <v>45452</v>
      </c>
      <c r="C395" t="s">
        <v>29</v>
      </c>
      <c r="D395">
        <v>4</v>
      </c>
      <c r="E395">
        <v>4</v>
      </c>
      <c r="F395" t="s">
        <v>46</v>
      </c>
      <c r="G395">
        <f t="shared" si="14"/>
        <v>7</v>
      </c>
      <c r="H395">
        <f t="shared" si="48"/>
        <v>3</v>
      </c>
      <c r="I395">
        <f t="shared" si="49"/>
        <v>10</v>
      </c>
      <c r="J395">
        <f t="shared" si="44"/>
        <v>0</v>
      </c>
      <c r="K395">
        <f t="shared" si="45"/>
        <v>0</v>
      </c>
      <c r="L395">
        <f t="shared" si="50"/>
        <v>0</v>
      </c>
    </row>
    <row r="396" spans="1:12" x14ac:dyDescent="0.25">
      <c r="A396">
        <v>20</v>
      </c>
      <c r="B396" s="1">
        <v>45452</v>
      </c>
      <c r="C396" t="s">
        <v>29</v>
      </c>
      <c r="D396">
        <v>5</v>
      </c>
      <c r="E396">
        <v>5</v>
      </c>
      <c r="F396" t="s">
        <v>51</v>
      </c>
      <c r="G396">
        <f t="shared" si="14"/>
        <v>6</v>
      </c>
      <c r="H396">
        <f t="shared" si="48"/>
        <v>1</v>
      </c>
      <c r="I396">
        <f t="shared" si="49"/>
        <v>7</v>
      </c>
      <c r="J396">
        <f t="shared" si="44"/>
        <v>0</v>
      </c>
      <c r="K396">
        <f t="shared" si="45"/>
        <v>0</v>
      </c>
      <c r="L396">
        <f t="shared" si="50"/>
        <v>0</v>
      </c>
    </row>
    <row r="397" spans="1:12" x14ac:dyDescent="0.25">
      <c r="A397">
        <v>20</v>
      </c>
      <c r="B397" s="1">
        <v>45452</v>
      </c>
      <c r="C397" t="s">
        <v>29</v>
      </c>
      <c r="D397">
        <v>6</v>
      </c>
      <c r="E397">
        <v>6</v>
      </c>
      <c r="F397" t="s">
        <v>50</v>
      </c>
      <c r="G397">
        <f t="shared" si="14"/>
        <v>5</v>
      </c>
      <c r="H397">
        <f t="shared" si="48"/>
        <v>0</v>
      </c>
      <c r="I397">
        <f t="shared" si="49"/>
        <v>5</v>
      </c>
      <c r="J397">
        <f t="shared" ref="J397:J460" si="51">COUNTIF(D397,"=1")</f>
        <v>0</v>
      </c>
      <c r="K397">
        <f t="shared" ref="K397:K460" si="52">COUNTIF(D397,"&lt;4")</f>
        <v>0</v>
      </c>
      <c r="L397">
        <f t="shared" si="50"/>
        <v>0</v>
      </c>
    </row>
    <row r="398" spans="1:12" x14ac:dyDescent="0.25">
      <c r="A398">
        <v>20</v>
      </c>
      <c r="B398" s="1">
        <v>45452</v>
      </c>
      <c r="C398" t="s">
        <v>29</v>
      </c>
      <c r="D398">
        <v>7</v>
      </c>
      <c r="E398">
        <v>7</v>
      </c>
      <c r="F398" t="s">
        <v>53</v>
      </c>
      <c r="G398">
        <f t="shared" si="14"/>
        <v>4</v>
      </c>
      <c r="H398">
        <f t="shared" si="48"/>
        <v>0</v>
      </c>
      <c r="I398">
        <f t="shared" si="49"/>
        <v>4</v>
      </c>
      <c r="J398">
        <f t="shared" si="51"/>
        <v>0</v>
      </c>
      <c r="K398">
        <f t="shared" si="52"/>
        <v>0</v>
      </c>
      <c r="L398">
        <f t="shared" si="50"/>
        <v>0</v>
      </c>
    </row>
    <row r="399" spans="1:12" x14ac:dyDescent="0.25">
      <c r="A399">
        <v>20</v>
      </c>
      <c r="B399" s="1">
        <v>45452</v>
      </c>
      <c r="C399" t="s">
        <v>29</v>
      </c>
      <c r="D399">
        <v>8</v>
      </c>
      <c r="E399">
        <v>8</v>
      </c>
      <c r="F399" t="s">
        <v>48</v>
      </c>
      <c r="G399">
        <f t="shared" si="14"/>
        <v>3</v>
      </c>
      <c r="H399">
        <f t="shared" si="48"/>
        <v>0</v>
      </c>
      <c r="I399">
        <f t="shared" si="49"/>
        <v>3</v>
      </c>
      <c r="J399">
        <f t="shared" si="51"/>
        <v>0</v>
      </c>
      <c r="K399">
        <f t="shared" si="52"/>
        <v>0</v>
      </c>
      <c r="L399">
        <f t="shared" si="50"/>
        <v>0</v>
      </c>
    </row>
    <row r="400" spans="1:12" x14ac:dyDescent="0.25">
      <c r="A400">
        <v>20</v>
      </c>
      <c r="B400" s="1">
        <v>45452</v>
      </c>
      <c r="C400" t="s">
        <v>29</v>
      </c>
      <c r="D400">
        <v>9</v>
      </c>
      <c r="E400">
        <v>9</v>
      </c>
      <c r="F400" t="s">
        <v>47</v>
      </c>
      <c r="G400">
        <f t="shared" si="14"/>
        <v>2</v>
      </c>
      <c r="H400">
        <f t="shared" si="48"/>
        <v>0</v>
      </c>
      <c r="I400">
        <f t="shared" si="49"/>
        <v>2</v>
      </c>
      <c r="J400">
        <f t="shared" si="51"/>
        <v>0</v>
      </c>
      <c r="K400">
        <f t="shared" si="52"/>
        <v>0</v>
      </c>
      <c r="L400">
        <f t="shared" si="50"/>
        <v>0</v>
      </c>
    </row>
    <row r="401" spans="1:12" x14ac:dyDescent="0.25">
      <c r="A401">
        <v>20</v>
      </c>
      <c r="B401" s="1">
        <v>45452</v>
      </c>
      <c r="C401" t="s">
        <v>29</v>
      </c>
      <c r="D401">
        <v>10</v>
      </c>
      <c r="E401">
        <v>10</v>
      </c>
      <c r="F401" t="s">
        <v>52</v>
      </c>
      <c r="G401">
        <f t="shared" si="14"/>
        <v>1</v>
      </c>
      <c r="H401">
        <f t="shared" si="48"/>
        <v>0</v>
      </c>
      <c r="I401">
        <f t="shared" si="49"/>
        <v>1</v>
      </c>
      <c r="J401">
        <f t="shared" si="51"/>
        <v>0</v>
      </c>
      <c r="K401">
        <f t="shared" si="52"/>
        <v>0</v>
      </c>
      <c r="L401">
        <f t="shared" si="50"/>
        <v>0</v>
      </c>
    </row>
    <row r="402" spans="1:12" x14ac:dyDescent="0.25">
      <c r="A402">
        <v>23</v>
      </c>
      <c r="B402" s="1">
        <v>45473</v>
      </c>
      <c r="C402" t="s">
        <v>4</v>
      </c>
      <c r="D402">
        <v>1</v>
      </c>
      <c r="E402">
        <v>1</v>
      </c>
      <c r="F402" t="s">
        <v>19</v>
      </c>
      <c r="G402">
        <f t="shared" si="14"/>
        <v>10</v>
      </c>
      <c r="H402">
        <f t="shared" si="48"/>
        <v>9</v>
      </c>
      <c r="I402">
        <f t="shared" si="49"/>
        <v>19</v>
      </c>
      <c r="J402">
        <f t="shared" si="51"/>
        <v>1</v>
      </c>
      <c r="K402">
        <f t="shared" si="52"/>
        <v>1</v>
      </c>
      <c r="L402">
        <f t="shared" si="50"/>
        <v>0</v>
      </c>
    </row>
    <row r="403" spans="1:12" x14ac:dyDescent="0.25">
      <c r="A403">
        <v>23</v>
      </c>
      <c r="B403" s="1">
        <v>45473</v>
      </c>
      <c r="C403" t="s">
        <v>4</v>
      </c>
      <c r="D403">
        <v>2</v>
      </c>
      <c r="E403">
        <v>2</v>
      </c>
      <c r="F403" t="s">
        <v>21</v>
      </c>
      <c r="G403">
        <f t="shared" si="14"/>
        <v>9</v>
      </c>
      <c r="H403">
        <f t="shared" si="48"/>
        <v>7</v>
      </c>
      <c r="I403">
        <f t="shared" si="49"/>
        <v>16</v>
      </c>
      <c r="J403">
        <f t="shared" si="51"/>
        <v>0</v>
      </c>
      <c r="K403">
        <f t="shared" si="52"/>
        <v>1</v>
      </c>
      <c r="L403">
        <f t="shared" si="50"/>
        <v>0</v>
      </c>
    </row>
    <row r="404" spans="1:12" x14ac:dyDescent="0.25">
      <c r="A404">
        <v>23</v>
      </c>
      <c r="B404" s="1">
        <v>45473</v>
      </c>
      <c r="C404" t="s">
        <v>4</v>
      </c>
      <c r="D404">
        <v>3</v>
      </c>
      <c r="E404">
        <v>4</v>
      </c>
      <c r="F404" t="s">
        <v>26</v>
      </c>
      <c r="G404">
        <f t="shared" si="14"/>
        <v>8</v>
      </c>
      <c r="H404">
        <f t="shared" si="48"/>
        <v>5</v>
      </c>
      <c r="I404">
        <f t="shared" si="49"/>
        <v>13</v>
      </c>
      <c r="J404">
        <f t="shared" si="51"/>
        <v>0</v>
      </c>
      <c r="K404">
        <f t="shared" si="52"/>
        <v>1</v>
      </c>
      <c r="L404">
        <f t="shared" si="50"/>
        <v>-1</v>
      </c>
    </row>
    <row r="405" spans="1:12" x14ac:dyDescent="0.25">
      <c r="A405">
        <v>23</v>
      </c>
      <c r="B405" s="1">
        <v>45473</v>
      </c>
      <c r="C405" t="s">
        <v>4</v>
      </c>
      <c r="D405">
        <v>4</v>
      </c>
      <c r="E405">
        <v>3</v>
      </c>
      <c r="F405" t="s">
        <v>22</v>
      </c>
      <c r="G405">
        <f t="shared" si="14"/>
        <v>7</v>
      </c>
      <c r="H405">
        <f t="shared" si="48"/>
        <v>3</v>
      </c>
      <c r="I405">
        <f t="shared" si="49"/>
        <v>10</v>
      </c>
      <c r="J405">
        <f t="shared" si="51"/>
        <v>0</v>
      </c>
      <c r="K405">
        <f t="shared" si="52"/>
        <v>0</v>
      </c>
      <c r="L405">
        <f t="shared" si="50"/>
        <v>1</v>
      </c>
    </row>
    <row r="406" spans="1:12" x14ac:dyDescent="0.25">
      <c r="A406">
        <v>23</v>
      </c>
      <c r="B406" s="1">
        <v>45473</v>
      </c>
      <c r="C406" t="s">
        <v>4</v>
      </c>
      <c r="D406">
        <v>5</v>
      </c>
      <c r="E406">
        <v>7</v>
      </c>
      <c r="F406" t="s">
        <v>16</v>
      </c>
      <c r="G406">
        <f t="shared" ref="G406:G469" si="53">11-D406</f>
        <v>6</v>
      </c>
      <c r="H406">
        <f t="shared" si="48"/>
        <v>1</v>
      </c>
      <c r="I406">
        <f t="shared" si="49"/>
        <v>7</v>
      </c>
      <c r="J406">
        <f t="shared" si="51"/>
        <v>0</v>
      </c>
      <c r="K406">
        <f t="shared" si="52"/>
        <v>0</v>
      </c>
      <c r="L406">
        <f t="shared" si="50"/>
        <v>-2</v>
      </c>
    </row>
    <row r="407" spans="1:12" x14ac:dyDescent="0.25">
      <c r="A407">
        <v>23</v>
      </c>
      <c r="B407" s="1">
        <v>45473</v>
      </c>
      <c r="C407" t="s">
        <v>4</v>
      </c>
      <c r="D407">
        <v>6</v>
      </c>
      <c r="E407">
        <v>8</v>
      </c>
      <c r="F407" t="s">
        <v>28</v>
      </c>
      <c r="G407">
        <f t="shared" si="53"/>
        <v>5</v>
      </c>
      <c r="H407">
        <f t="shared" si="48"/>
        <v>0</v>
      </c>
      <c r="I407">
        <f t="shared" si="49"/>
        <v>5</v>
      </c>
      <c r="J407">
        <f t="shared" si="51"/>
        <v>0</v>
      </c>
      <c r="K407">
        <f t="shared" si="52"/>
        <v>0</v>
      </c>
      <c r="L407">
        <f t="shared" si="50"/>
        <v>-2</v>
      </c>
    </row>
    <row r="408" spans="1:12" x14ac:dyDescent="0.25">
      <c r="A408">
        <v>23</v>
      </c>
      <c r="B408" s="1">
        <v>45473</v>
      </c>
      <c r="C408" t="s">
        <v>4</v>
      </c>
      <c r="D408">
        <v>7</v>
      </c>
      <c r="E408">
        <v>9</v>
      </c>
      <c r="F408" t="s">
        <v>24</v>
      </c>
      <c r="G408">
        <f t="shared" si="53"/>
        <v>4</v>
      </c>
      <c r="H408">
        <f t="shared" si="48"/>
        <v>0</v>
      </c>
      <c r="I408">
        <f t="shared" si="49"/>
        <v>4</v>
      </c>
      <c r="J408">
        <f t="shared" si="51"/>
        <v>0</v>
      </c>
      <c r="K408">
        <f t="shared" si="52"/>
        <v>0</v>
      </c>
      <c r="L408">
        <f t="shared" si="50"/>
        <v>-2</v>
      </c>
    </row>
    <row r="409" spans="1:12" x14ac:dyDescent="0.25">
      <c r="A409">
        <v>23</v>
      </c>
      <c r="B409" s="1">
        <v>45473</v>
      </c>
      <c r="C409" t="s">
        <v>4</v>
      </c>
      <c r="D409">
        <v>8</v>
      </c>
      <c r="E409">
        <v>5</v>
      </c>
      <c r="F409" t="s">
        <v>25</v>
      </c>
      <c r="G409">
        <f t="shared" si="53"/>
        <v>3</v>
      </c>
      <c r="H409">
        <f t="shared" si="48"/>
        <v>0</v>
      </c>
      <c r="I409">
        <f t="shared" si="49"/>
        <v>3</v>
      </c>
      <c r="J409">
        <f t="shared" si="51"/>
        <v>0</v>
      </c>
      <c r="K409">
        <f t="shared" si="52"/>
        <v>0</v>
      </c>
      <c r="L409">
        <f t="shared" si="50"/>
        <v>3</v>
      </c>
    </row>
    <row r="410" spans="1:12" x14ac:dyDescent="0.25">
      <c r="A410">
        <v>23</v>
      </c>
      <c r="B410" s="1">
        <v>45473</v>
      </c>
      <c r="C410" t="s">
        <v>4</v>
      </c>
      <c r="D410">
        <v>9</v>
      </c>
      <c r="E410">
        <v>6</v>
      </c>
      <c r="F410" t="s">
        <v>9</v>
      </c>
      <c r="G410">
        <f t="shared" si="53"/>
        <v>2</v>
      </c>
      <c r="H410">
        <f t="shared" si="48"/>
        <v>0</v>
      </c>
      <c r="I410">
        <f t="shared" si="49"/>
        <v>2</v>
      </c>
      <c r="J410">
        <f t="shared" si="51"/>
        <v>0</v>
      </c>
      <c r="K410">
        <f t="shared" si="52"/>
        <v>0</v>
      </c>
      <c r="L410">
        <f t="shared" si="50"/>
        <v>3</v>
      </c>
    </row>
    <row r="411" spans="1:12" x14ac:dyDescent="0.25">
      <c r="A411">
        <v>23</v>
      </c>
      <c r="B411" s="1">
        <v>45473</v>
      </c>
      <c r="C411" t="s">
        <v>4</v>
      </c>
      <c r="D411">
        <v>10</v>
      </c>
      <c r="E411">
        <v>10</v>
      </c>
      <c r="F411" t="s">
        <v>27</v>
      </c>
      <c r="G411">
        <f t="shared" si="53"/>
        <v>1</v>
      </c>
      <c r="H411">
        <f t="shared" si="48"/>
        <v>0</v>
      </c>
      <c r="I411">
        <f t="shared" si="49"/>
        <v>1</v>
      </c>
      <c r="J411">
        <f t="shared" si="51"/>
        <v>0</v>
      </c>
      <c r="K411">
        <f t="shared" si="52"/>
        <v>0</v>
      </c>
      <c r="L411">
        <f t="shared" si="50"/>
        <v>0</v>
      </c>
    </row>
    <row r="412" spans="1:12" x14ac:dyDescent="0.25">
      <c r="A412">
        <v>23</v>
      </c>
      <c r="B412" s="1">
        <v>45473</v>
      </c>
      <c r="C412" t="s">
        <v>29</v>
      </c>
      <c r="D412">
        <v>1</v>
      </c>
      <c r="E412">
        <v>2</v>
      </c>
      <c r="F412" t="s">
        <v>44</v>
      </c>
      <c r="G412">
        <f t="shared" si="53"/>
        <v>10</v>
      </c>
      <c r="H412">
        <f t="shared" si="48"/>
        <v>9</v>
      </c>
      <c r="I412">
        <f t="shared" si="49"/>
        <v>19</v>
      </c>
      <c r="J412">
        <f t="shared" si="51"/>
        <v>1</v>
      </c>
      <c r="K412">
        <f t="shared" si="52"/>
        <v>1</v>
      </c>
      <c r="L412">
        <f t="shared" si="50"/>
        <v>-1</v>
      </c>
    </row>
    <row r="413" spans="1:12" x14ac:dyDescent="0.25">
      <c r="A413">
        <v>23</v>
      </c>
      <c r="B413" s="1">
        <v>45473</v>
      </c>
      <c r="C413" t="s">
        <v>29</v>
      </c>
      <c r="D413">
        <v>2</v>
      </c>
      <c r="E413">
        <v>4</v>
      </c>
      <c r="F413" t="s">
        <v>46</v>
      </c>
      <c r="G413">
        <f t="shared" si="53"/>
        <v>9</v>
      </c>
      <c r="H413">
        <f t="shared" si="48"/>
        <v>7</v>
      </c>
      <c r="I413">
        <f t="shared" si="49"/>
        <v>16</v>
      </c>
      <c r="J413">
        <f t="shared" si="51"/>
        <v>0</v>
      </c>
      <c r="K413">
        <f t="shared" si="52"/>
        <v>1</v>
      </c>
      <c r="L413">
        <f t="shared" si="50"/>
        <v>-2</v>
      </c>
    </row>
    <row r="414" spans="1:12" x14ac:dyDescent="0.25">
      <c r="A414">
        <v>23</v>
      </c>
      <c r="B414" s="1">
        <v>45473</v>
      </c>
      <c r="C414" t="s">
        <v>29</v>
      </c>
      <c r="D414">
        <v>3</v>
      </c>
      <c r="E414">
        <v>1</v>
      </c>
      <c r="F414" t="s">
        <v>45</v>
      </c>
      <c r="G414">
        <f t="shared" si="53"/>
        <v>8</v>
      </c>
      <c r="H414">
        <f t="shared" si="48"/>
        <v>5</v>
      </c>
      <c r="I414">
        <f t="shared" si="49"/>
        <v>13</v>
      </c>
      <c r="J414">
        <f t="shared" si="51"/>
        <v>0</v>
      </c>
      <c r="K414">
        <f t="shared" si="52"/>
        <v>1</v>
      </c>
      <c r="L414">
        <f t="shared" si="50"/>
        <v>2</v>
      </c>
    </row>
    <row r="415" spans="1:12" x14ac:dyDescent="0.25">
      <c r="A415">
        <v>23</v>
      </c>
      <c r="B415" s="1">
        <v>45473</v>
      </c>
      <c r="C415" t="s">
        <v>29</v>
      </c>
      <c r="D415">
        <v>4</v>
      </c>
      <c r="E415">
        <v>3</v>
      </c>
      <c r="F415" t="s">
        <v>49</v>
      </c>
      <c r="G415">
        <f t="shared" si="53"/>
        <v>7</v>
      </c>
      <c r="H415">
        <f t="shared" si="48"/>
        <v>3</v>
      </c>
      <c r="I415">
        <f t="shared" si="49"/>
        <v>10</v>
      </c>
      <c r="J415">
        <f t="shared" si="51"/>
        <v>0</v>
      </c>
      <c r="K415">
        <f t="shared" si="52"/>
        <v>0</v>
      </c>
      <c r="L415">
        <f t="shared" si="50"/>
        <v>1</v>
      </c>
    </row>
    <row r="416" spans="1:12" x14ac:dyDescent="0.25">
      <c r="A416">
        <v>23</v>
      </c>
      <c r="B416" s="1">
        <v>45473</v>
      </c>
      <c r="C416" t="s">
        <v>29</v>
      </c>
      <c r="D416">
        <v>5</v>
      </c>
      <c r="E416">
        <v>9</v>
      </c>
      <c r="F416" t="s">
        <v>47</v>
      </c>
      <c r="G416">
        <f t="shared" si="53"/>
        <v>6</v>
      </c>
      <c r="H416">
        <f t="shared" si="48"/>
        <v>1</v>
      </c>
      <c r="I416">
        <f t="shared" si="49"/>
        <v>7</v>
      </c>
      <c r="J416">
        <f t="shared" si="51"/>
        <v>0</v>
      </c>
      <c r="K416">
        <f t="shared" si="52"/>
        <v>0</v>
      </c>
      <c r="L416">
        <f t="shared" si="50"/>
        <v>-4</v>
      </c>
    </row>
    <row r="417" spans="1:12" x14ac:dyDescent="0.25">
      <c r="A417">
        <v>23</v>
      </c>
      <c r="B417" s="1">
        <v>45473</v>
      </c>
      <c r="C417" t="s">
        <v>29</v>
      </c>
      <c r="D417">
        <v>6</v>
      </c>
      <c r="E417">
        <v>8</v>
      </c>
      <c r="F417" t="s">
        <v>48</v>
      </c>
      <c r="G417">
        <f t="shared" si="53"/>
        <v>5</v>
      </c>
      <c r="H417">
        <f t="shared" si="48"/>
        <v>0</v>
      </c>
      <c r="I417">
        <f t="shared" si="49"/>
        <v>5</v>
      </c>
      <c r="J417">
        <f t="shared" si="51"/>
        <v>0</v>
      </c>
      <c r="K417">
        <f t="shared" si="52"/>
        <v>0</v>
      </c>
      <c r="L417">
        <f t="shared" si="50"/>
        <v>-2</v>
      </c>
    </row>
    <row r="418" spans="1:12" x14ac:dyDescent="0.25">
      <c r="A418">
        <v>23</v>
      </c>
      <c r="B418" s="1">
        <v>45473</v>
      </c>
      <c r="C418" t="s">
        <v>29</v>
      </c>
      <c r="D418">
        <v>7</v>
      </c>
      <c r="E418">
        <v>6</v>
      </c>
      <c r="F418" t="s">
        <v>50</v>
      </c>
      <c r="G418">
        <f t="shared" si="53"/>
        <v>4</v>
      </c>
      <c r="H418">
        <f t="shared" si="48"/>
        <v>0</v>
      </c>
      <c r="I418">
        <f t="shared" si="49"/>
        <v>4</v>
      </c>
      <c r="J418">
        <f t="shared" si="51"/>
        <v>0</v>
      </c>
      <c r="K418">
        <f t="shared" si="52"/>
        <v>0</v>
      </c>
      <c r="L418">
        <f t="shared" si="50"/>
        <v>1</v>
      </c>
    </row>
    <row r="419" spans="1:12" x14ac:dyDescent="0.25">
      <c r="A419">
        <v>23</v>
      </c>
      <c r="B419" s="1">
        <v>45473</v>
      </c>
      <c r="C419" t="s">
        <v>29</v>
      </c>
      <c r="D419">
        <v>8</v>
      </c>
      <c r="E419">
        <v>10</v>
      </c>
      <c r="F419" t="s">
        <v>52</v>
      </c>
      <c r="G419">
        <f t="shared" si="53"/>
        <v>3</v>
      </c>
      <c r="H419">
        <f t="shared" si="48"/>
        <v>0</v>
      </c>
      <c r="I419">
        <f t="shared" si="49"/>
        <v>3</v>
      </c>
      <c r="J419">
        <f t="shared" si="51"/>
        <v>0</v>
      </c>
      <c r="K419">
        <f t="shared" si="52"/>
        <v>0</v>
      </c>
      <c r="L419">
        <f t="shared" si="50"/>
        <v>-2</v>
      </c>
    </row>
    <row r="420" spans="1:12" x14ac:dyDescent="0.25">
      <c r="A420">
        <v>23</v>
      </c>
      <c r="B420" s="1">
        <v>45473</v>
      </c>
      <c r="C420" t="s">
        <v>29</v>
      </c>
      <c r="D420">
        <v>9</v>
      </c>
      <c r="E420">
        <v>5</v>
      </c>
      <c r="F420" t="s">
        <v>51</v>
      </c>
      <c r="G420">
        <f t="shared" si="53"/>
        <v>2</v>
      </c>
      <c r="H420">
        <f t="shared" si="48"/>
        <v>0</v>
      </c>
      <c r="I420">
        <f t="shared" si="49"/>
        <v>2</v>
      </c>
      <c r="J420">
        <f t="shared" si="51"/>
        <v>0</v>
      </c>
      <c r="K420">
        <f t="shared" si="52"/>
        <v>0</v>
      </c>
      <c r="L420">
        <f t="shared" si="50"/>
        <v>4</v>
      </c>
    </row>
    <row r="421" spans="1:12" x14ac:dyDescent="0.25">
      <c r="A421">
        <v>23</v>
      </c>
      <c r="B421" s="1">
        <v>45473</v>
      </c>
      <c r="C421" t="s">
        <v>29</v>
      </c>
      <c r="D421">
        <v>10</v>
      </c>
      <c r="E421">
        <v>11</v>
      </c>
      <c r="F421" t="s">
        <v>41</v>
      </c>
      <c r="G421">
        <f t="shared" si="53"/>
        <v>1</v>
      </c>
      <c r="H421">
        <f t="shared" si="48"/>
        <v>0</v>
      </c>
      <c r="I421">
        <f t="shared" si="49"/>
        <v>1</v>
      </c>
      <c r="J421">
        <f t="shared" si="51"/>
        <v>0</v>
      </c>
      <c r="K421">
        <f t="shared" si="52"/>
        <v>0</v>
      </c>
      <c r="L421">
        <f t="shared" si="50"/>
        <v>-1</v>
      </c>
    </row>
    <row r="422" spans="1:12" x14ac:dyDescent="0.25">
      <c r="A422">
        <v>24</v>
      </c>
      <c r="B422" s="1">
        <v>45487</v>
      </c>
      <c r="C422" t="s">
        <v>4</v>
      </c>
      <c r="D422">
        <v>1</v>
      </c>
      <c r="E422">
        <v>4</v>
      </c>
      <c r="F422" t="s">
        <v>22</v>
      </c>
      <c r="G422">
        <f t="shared" si="53"/>
        <v>10</v>
      </c>
      <c r="H422">
        <f t="shared" si="48"/>
        <v>9</v>
      </c>
      <c r="I422">
        <f t="shared" si="49"/>
        <v>19</v>
      </c>
      <c r="J422">
        <f t="shared" si="51"/>
        <v>1</v>
      </c>
      <c r="K422">
        <f t="shared" si="52"/>
        <v>1</v>
      </c>
      <c r="L422">
        <f t="shared" si="50"/>
        <v>-3</v>
      </c>
    </row>
    <row r="423" spans="1:12" x14ac:dyDescent="0.25">
      <c r="A423">
        <v>24</v>
      </c>
      <c r="B423" s="1">
        <v>45487</v>
      </c>
      <c r="C423" t="s">
        <v>4</v>
      </c>
      <c r="D423">
        <v>2</v>
      </c>
      <c r="E423">
        <v>1</v>
      </c>
      <c r="F423" t="s">
        <v>19</v>
      </c>
      <c r="G423">
        <f t="shared" si="53"/>
        <v>9</v>
      </c>
      <c r="H423">
        <f t="shared" si="48"/>
        <v>7</v>
      </c>
      <c r="I423">
        <f t="shared" si="49"/>
        <v>16</v>
      </c>
      <c r="J423">
        <f t="shared" si="51"/>
        <v>0</v>
      </c>
      <c r="K423">
        <f t="shared" si="52"/>
        <v>1</v>
      </c>
      <c r="L423">
        <f t="shared" si="50"/>
        <v>1</v>
      </c>
    </row>
    <row r="424" spans="1:12" x14ac:dyDescent="0.25">
      <c r="A424">
        <v>24</v>
      </c>
      <c r="B424" s="1">
        <v>45487</v>
      </c>
      <c r="C424" t="s">
        <v>4</v>
      </c>
      <c r="D424">
        <v>3</v>
      </c>
      <c r="E424">
        <v>2</v>
      </c>
      <c r="F424" t="s">
        <v>21</v>
      </c>
      <c r="G424">
        <f t="shared" si="53"/>
        <v>8</v>
      </c>
      <c r="H424">
        <f t="shared" si="48"/>
        <v>5</v>
      </c>
      <c r="I424">
        <f t="shared" si="49"/>
        <v>13</v>
      </c>
      <c r="J424">
        <f t="shared" si="51"/>
        <v>0</v>
      </c>
      <c r="K424">
        <f t="shared" si="52"/>
        <v>1</v>
      </c>
      <c r="L424">
        <f t="shared" si="50"/>
        <v>1</v>
      </c>
    </row>
    <row r="425" spans="1:12" x14ac:dyDescent="0.25">
      <c r="A425">
        <v>24</v>
      </c>
      <c r="B425" s="1">
        <v>45487</v>
      </c>
      <c r="C425" t="s">
        <v>4</v>
      </c>
      <c r="D425">
        <v>4</v>
      </c>
      <c r="E425">
        <v>7</v>
      </c>
      <c r="F425" t="s">
        <v>24</v>
      </c>
      <c r="G425">
        <f t="shared" si="53"/>
        <v>7</v>
      </c>
      <c r="H425">
        <f t="shared" si="48"/>
        <v>3</v>
      </c>
      <c r="I425">
        <f t="shared" si="49"/>
        <v>10</v>
      </c>
      <c r="J425">
        <f t="shared" si="51"/>
        <v>0</v>
      </c>
      <c r="K425">
        <f t="shared" si="52"/>
        <v>0</v>
      </c>
      <c r="L425">
        <f t="shared" si="50"/>
        <v>-3</v>
      </c>
    </row>
    <row r="426" spans="1:12" x14ac:dyDescent="0.25">
      <c r="A426">
        <v>24</v>
      </c>
      <c r="B426" s="1">
        <v>45487</v>
      </c>
      <c r="C426" t="s">
        <v>4</v>
      </c>
      <c r="D426">
        <v>5</v>
      </c>
      <c r="E426">
        <v>5</v>
      </c>
      <c r="F426" t="s">
        <v>16</v>
      </c>
      <c r="G426">
        <f t="shared" si="53"/>
        <v>6</v>
      </c>
      <c r="H426">
        <f t="shared" si="48"/>
        <v>1</v>
      </c>
      <c r="I426">
        <f t="shared" si="49"/>
        <v>7</v>
      </c>
      <c r="J426">
        <f t="shared" si="51"/>
        <v>0</v>
      </c>
      <c r="K426">
        <f t="shared" si="52"/>
        <v>0</v>
      </c>
      <c r="L426">
        <f t="shared" si="50"/>
        <v>0</v>
      </c>
    </row>
    <row r="427" spans="1:12" x14ac:dyDescent="0.25">
      <c r="A427">
        <v>24</v>
      </c>
      <c r="B427" s="1">
        <v>45487</v>
      </c>
      <c r="C427" t="s">
        <v>4</v>
      </c>
      <c r="D427">
        <v>6</v>
      </c>
      <c r="E427">
        <v>8</v>
      </c>
      <c r="F427" t="s">
        <v>25</v>
      </c>
      <c r="G427">
        <f t="shared" si="53"/>
        <v>5</v>
      </c>
      <c r="H427">
        <f t="shared" si="48"/>
        <v>0</v>
      </c>
      <c r="I427">
        <f t="shared" si="49"/>
        <v>5</v>
      </c>
      <c r="J427">
        <f t="shared" si="51"/>
        <v>0</v>
      </c>
      <c r="K427">
        <f t="shared" si="52"/>
        <v>0</v>
      </c>
      <c r="L427">
        <f t="shared" si="50"/>
        <v>-2</v>
      </c>
    </row>
    <row r="428" spans="1:12" x14ac:dyDescent="0.25">
      <c r="A428">
        <v>24</v>
      </c>
      <c r="B428" s="1">
        <v>45487</v>
      </c>
      <c r="C428" t="s">
        <v>4</v>
      </c>
      <c r="D428">
        <v>7</v>
      </c>
      <c r="E428">
        <v>9</v>
      </c>
      <c r="F428" t="s">
        <v>9</v>
      </c>
      <c r="G428">
        <f t="shared" si="53"/>
        <v>4</v>
      </c>
      <c r="H428">
        <f t="shared" si="48"/>
        <v>0</v>
      </c>
      <c r="I428">
        <f t="shared" si="49"/>
        <v>4</v>
      </c>
      <c r="J428">
        <f t="shared" si="51"/>
        <v>0</v>
      </c>
      <c r="K428">
        <f t="shared" si="52"/>
        <v>0</v>
      </c>
      <c r="L428">
        <f t="shared" si="50"/>
        <v>-2</v>
      </c>
    </row>
    <row r="429" spans="1:12" x14ac:dyDescent="0.25">
      <c r="A429">
        <v>24</v>
      </c>
      <c r="B429" s="1">
        <v>45487</v>
      </c>
      <c r="C429" t="s">
        <v>4</v>
      </c>
      <c r="D429">
        <v>8</v>
      </c>
      <c r="E429">
        <v>11</v>
      </c>
      <c r="F429" t="s">
        <v>10</v>
      </c>
      <c r="G429">
        <f t="shared" si="53"/>
        <v>3</v>
      </c>
      <c r="H429">
        <f t="shared" si="48"/>
        <v>0</v>
      </c>
      <c r="I429">
        <f t="shared" si="49"/>
        <v>3</v>
      </c>
      <c r="J429">
        <f t="shared" si="51"/>
        <v>0</v>
      </c>
      <c r="K429">
        <f t="shared" si="52"/>
        <v>0</v>
      </c>
      <c r="L429">
        <f t="shared" si="50"/>
        <v>-3</v>
      </c>
    </row>
    <row r="430" spans="1:12" x14ac:dyDescent="0.25">
      <c r="A430">
        <v>24</v>
      </c>
      <c r="B430" s="1">
        <v>45487</v>
      </c>
      <c r="C430" t="s">
        <v>4</v>
      </c>
      <c r="D430">
        <v>9</v>
      </c>
      <c r="E430">
        <v>3</v>
      </c>
      <c r="F430" t="s">
        <v>26</v>
      </c>
      <c r="G430">
        <f t="shared" si="53"/>
        <v>2</v>
      </c>
      <c r="H430">
        <f t="shared" si="48"/>
        <v>0</v>
      </c>
      <c r="I430">
        <f t="shared" si="49"/>
        <v>2</v>
      </c>
      <c r="J430">
        <f t="shared" si="51"/>
        <v>0</v>
      </c>
      <c r="K430">
        <f t="shared" si="52"/>
        <v>0</v>
      </c>
      <c r="L430">
        <f t="shared" si="50"/>
        <v>6</v>
      </c>
    </row>
    <row r="431" spans="1:12" x14ac:dyDescent="0.25">
      <c r="A431">
        <v>24</v>
      </c>
      <c r="B431" s="1">
        <v>45487</v>
      </c>
      <c r="C431" t="s">
        <v>4</v>
      </c>
      <c r="D431">
        <v>10</v>
      </c>
      <c r="E431">
        <v>10</v>
      </c>
      <c r="F431" t="s">
        <v>27</v>
      </c>
      <c r="G431">
        <f t="shared" si="53"/>
        <v>1</v>
      </c>
      <c r="H431">
        <f t="shared" si="48"/>
        <v>0</v>
      </c>
      <c r="I431">
        <f t="shared" si="49"/>
        <v>1</v>
      </c>
      <c r="J431">
        <f t="shared" si="51"/>
        <v>0</v>
      </c>
      <c r="K431">
        <f t="shared" si="52"/>
        <v>0</v>
      </c>
      <c r="L431">
        <f t="shared" si="50"/>
        <v>0</v>
      </c>
    </row>
    <row r="432" spans="1:12" x14ac:dyDescent="0.25">
      <c r="A432">
        <v>24</v>
      </c>
      <c r="B432" s="1">
        <v>45487</v>
      </c>
      <c r="C432" t="s">
        <v>29</v>
      </c>
      <c r="D432">
        <v>1</v>
      </c>
      <c r="E432">
        <v>1</v>
      </c>
      <c r="F432" t="s">
        <v>44</v>
      </c>
      <c r="G432">
        <f t="shared" si="53"/>
        <v>10</v>
      </c>
      <c r="H432">
        <f t="shared" si="48"/>
        <v>9</v>
      </c>
      <c r="I432">
        <f t="shared" si="49"/>
        <v>19</v>
      </c>
      <c r="J432">
        <f t="shared" si="51"/>
        <v>1</v>
      </c>
      <c r="K432">
        <f t="shared" si="52"/>
        <v>1</v>
      </c>
      <c r="L432">
        <f t="shared" si="50"/>
        <v>0</v>
      </c>
    </row>
    <row r="433" spans="1:12" x14ac:dyDescent="0.25">
      <c r="A433">
        <v>24</v>
      </c>
      <c r="B433" s="1">
        <v>45487</v>
      </c>
      <c r="C433" t="s">
        <v>29</v>
      </c>
      <c r="D433">
        <v>2</v>
      </c>
      <c r="E433">
        <v>3</v>
      </c>
      <c r="F433" t="s">
        <v>45</v>
      </c>
      <c r="G433">
        <f t="shared" si="53"/>
        <v>9</v>
      </c>
      <c r="H433">
        <f t="shared" si="48"/>
        <v>7</v>
      </c>
      <c r="I433">
        <f t="shared" si="49"/>
        <v>16</v>
      </c>
      <c r="J433">
        <f t="shared" si="51"/>
        <v>0</v>
      </c>
      <c r="K433">
        <f t="shared" si="52"/>
        <v>1</v>
      </c>
      <c r="L433">
        <f t="shared" si="50"/>
        <v>-1</v>
      </c>
    </row>
    <row r="434" spans="1:12" x14ac:dyDescent="0.25">
      <c r="A434">
        <v>24</v>
      </c>
      <c r="B434" s="1">
        <v>45487</v>
      </c>
      <c r="C434" t="s">
        <v>29</v>
      </c>
      <c r="D434">
        <v>3</v>
      </c>
      <c r="E434">
        <v>2</v>
      </c>
      <c r="F434" t="s">
        <v>46</v>
      </c>
      <c r="G434">
        <f t="shared" si="53"/>
        <v>8</v>
      </c>
      <c r="H434">
        <f t="shared" si="48"/>
        <v>5</v>
      </c>
      <c r="I434">
        <f t="shared" si="49"/>
        <v>13</v>
      </c>
      <c r="J434">
        <f t="shared" si="51"/>
        <v>0</v>
      </c>
      <c r="K434">
        <f t="shared" si="52"/>
        <v>1</v>
      </c>
      <c r="L434">
        <f t="shared" si="50"/>
        <v>1</v>
      </c>
    </row>
    <row r="435" spans="1:12" x14ac:dyDescent="0.25">
      <c r="A435">
        <v>24</v>
      </c>
      <c r="B435" s="1">
        <v>45487</v>
      </c>
      <c r="C435" t="s">
        <v>29</v>
      </c>
      <c r="D435">
        <v>4</v>
      </c>
      <c r="E435">
        <v>5</v>
      </c>
      <c r="F435" t="s">
        <v>47</v>
      </c>
      <c r="G435">
        <f t="shared" si="53"/>
        <v>7</v>
      </c>
      <c r="H435">
        <f t="shared" si="48"/>
        <v>3</v>
      </c>
      <c r="I435">
        <f t="shared" si="49"/>
        <v>10</v>
      </c>
      <c r="J435">
        <f t="shared" si="51"/>
        <v>0</v>
      </c>
      <c r="K435">
        <f t="shared" si="52"/>
        <v>0</v>
      </c>
      <c r="L435">
        <f t="shared" si="50"/>
        <v>-1</v>
      </c>
    </row>
    <row r="436" spans="1:12" x14ac:dyDescent="0.25">
      <c r="A436">
        <v>24</v>
      </c>
      <c r="B436" s="1">
        <v>45487</v>
      </c>
      <c r="C436" t="s">
        <v>29</v>
      </c>
      <c r="D436">
        <v>5</v>
      </c>
      <c r="E436">
        <v>4</v>
      </c>
      <c r="F436" t="s">
        <v>49</v>
      </c>
      <c r="G436">
        <f t="shared" si="53"/>
        <v>6</v>
      </c>
      <c r="H436">
        <f t="shared" si="48"/>
        <v>1</v>
      </c>
      <c r="I436">
        <f t="shared" si="49"/>
        <v>7</v>
      </c>
      <c r="J436">
        <f t="shared" si="51"/>
        <v>0</v>
      </c>
      <c r="K436">
        <f t="shared" si="52"/>
        <v>0</v>
      </c>
      <c r="L436">
        <f t="shared" si="50"/>
        <v>1</v>
      </c>
    </row>
    <row r="437" spans="1:12" x14ac:dyDescent="0.25">
      <c r="A437">
        <v>24</v>
      </c>
      <c r="B437" s="1">
        <v>45487</v>
      </c>
      <c r="C437" t="s">
        <v>29</v>
      </c>
      <c r="D437">
        <v>6</v>
      </c>
      <c r="E437">
        <v>6</v>
      </c>
      <c r="F437" t="s">
        <v>48</v>
      </c>
      <c r="G437">
        <f t="shared" si="53"/>
        <v>5</v>
      </c>
      <c r="H437">
        <f t="shared" si="48"/>
        <v>0</v>
      </c>
      <c r="I437">
        <f t="shared" si="49"/>
        <v>5</v>
      </c>
      <c r="J437">
        <f t="shared" si="51"/>
        <v>0</v>
      </c>
      <c r="K437">
        <f t="shared" si="52"/>
        <v>0</v>
      </c>
      <c r="L437">
        <f t="shared" si="50"/>
        <v>0</v>
      </c>
    </row>
    <row r="438" spans="1:12" x14ac:dyDescent="0.25">
      <c r="A438">
        <v>24</v>
      </c>
      <c r="B438" s="1">
        <v>45487</v>
      </c>
      <c r="C438" t="s">
        <v>29</v>
      </c>
      <c r="D438">
        <v>7</v>
      </c>
      <c r="E438">
        <v>7</v>
      </c>
      <c r="F438" t="s">
        <v>50</v>
      </c>
      <c r="G438">
        <f t="shared" si="53"/>
        <v>4</v>
      </c>
      <c r="H438">
        <f t="shared" si="48"/>
        <v>0</v>
      </c>
      <c r="I438">
        <f t="shared" si="49"/>
        <v>4</v>
      </c>
      <c r="J438">
        <f t="shared" si="51"/>
        <v>0</v>
      </c>
      <c r="K438">
        <f t="shared" si="52"/>
        <v>0</v>
      </c>
      <c r="L438">
        <f t="shared" si="50"/>
        <v>0</v>
      </c>
    </row>
    <row r="439" spans="1:12" x14ac:dyDescent="0.25">
      <c r="A439">
        <v>24</v>
      </c>
      <c r="B439" s="1">
        <v>45487</v>
      </c>
      <c r="C439" t="s">
        <v>29</v>
      </c>
      <c r="D439">
        <v>8</v>
      </c>
      <c r="E439">
        <v>11</v>
      </c>
      <c r="F439" t="s">
        <v>33</v>
      </c>
      <c r="G439">
        <f t="shared" si="53"/>
        <v>3</v>
      </c>
      <c r="H439">
        <f t="shared" si="48"/>
        <v>0</v>
      </c>
      <c r="I439">
        <f t="shared" si="49"/>
        <v>3</v>
      </c>
      <c r="J439">
        <f t="shared" si="51"/>
        <v>0</v>
      </c>
      <c r="K439">
        <f t="shared" si="52"/>
        <v>0</v>
      </c>
      <c r="L439">
        <f t="shared" si="50"/>
        <v>-3</v>
      </c>
    </row>
    <row r="440" spans="1:12" x14ac:dyDescent="0.25">
      <c r="A440">
        <v>24</v>
      </c>
      <c r="B440" s="1">
        <v>45487</v>
      </c>
      <c r="C440" t="s">
        <v>29</v>
      </c>
      <c r="D440">
        <v>9</v>
      </c>
      <c r="E440">
        <v>10</v>
      </c>
      <c r="F440" t="s">
        <v>41</v>
      </c>
      <c r="G440">
        <f t="shared" si="53"/>
        <v>2</v>
      </c>
      <c r="H440">
        <f t="shared" si="48"/>
        <v>0</v>
      </c>
      <c r="I440">
        <f t="shared" si="49"/>
        <v>2</v>
      </c>
      <c r="J440">
        <f t="shared" si="51"/>
        <v>0</v>
      </c>
      <c r="K440">
        <f t="shared" si="52"/>
        <v>0</v>
      </c>
      <c r="L440">
        <f t="shared" si="50"/>
        <v>-1</v>
      </c>
    </row>
    <row r="441" spans="1:12" x14ac:dyDescent="0.25">
      <c r="A441">
        <v>24</v>
      </c>
      <c r="B441" s="1">
        <v>45487</v>
      </c>
      <c r="C441" t="s">
        <v>29</v>
      </c>
      <c r="D441">
        <v>10</v>
      </c>
      <c r="E441">
        <v>9</v>
      </c>
      <c r="F441" t="s">
        <v>51</v>
      </c>
      <c r="G441">
        <f t="shared" si="53"/>
        <v>1</v>
      </c>
      <c r="H441">
        <f t="shared" si="48"/>
        <v>0</v>
      </c>
      <c r="I441">
        <f t="shared" si="49"/>
        <v>1</v>
      </c>
      <c r="J441">
        <f t="shared" si="51"/>
        <v>0</v>
      </c>
      <c r="K441">
        <f t="shared" si="52"/>
        <v>0</v>
      </c>
      <c r="L441">
        <f t="shared" si="50"/>
        <v>1</v>
      </c>
    </row>
    <row r="442" spans="1:12" x14ac:dyDescent="0.25">
      <c r="A442">
        <v>25</v>
      </c>
      <c r="B442" s="1">
        <v>45501</v>
      </c>
      <c r="C442" t="s">
        <v>4</v>
      </c>
      <c r="D442">
        <v>1</v>
      </c>
      <c r="E442">
        <v>1</v>
      </c>
      <c r="F442" t="s">
        <v>22</v>
      </c>
      <c r="G442">
        <f t="shared" si="53"/>
        <v>10</v>
      </c>
      <c r="H442">
        <f t="shared" si="48"/>
        <v>9</v>
      </c>
      <c r="I442">
        <f t="shared" si="49"/>
        <v>19</v>
      </c>
      <c r="J442">
        <f t="shared" si="51"/>
        <v>1</v>
      </c>
      <c r="K442">
        <f t="shared" si="52"/>
        <v>1</v>
      </c>
      <c r="L442">
        <f t="shared" si="50"/>
        <v>0</v>
      </c>
    </row>
    <row r="443" spans="1:12" x14ac:dyDescent="0.25">
      <c r="A443">
        <v>25</v>
      </c>
      <c r="B443" s="1">
        <v>45501</v>
      </c>
      <c r="C443" t="s">
        <v>4</v>
      </c>
      <c r="D443">
        <v>2</v>
      </c>
      <c r="E443">
        <v>2</v>
      </c>
      <c r="F443" t="s">
        <v>19</v>
      </c>
      <c r="G443">
        <f t="shared" si="53"/>
        <v>9</v>
      </c>
      <c r="H443">
        <f t="shared" si="48"/>
        <v>7</v>
      </c>
      <c r="I443">
        <f t="shared" si="49"/>
        <v>16</v>
      </c>
      <c r="J443">
        <f t="shared" si="51"/>
        <v>0</v>
      </c>
      <c r="K443">
        <f t="shared" si="52"/>
        <v>1</v>
      </c>
      <c r="L443">
        <f t="shared" si="50"/>
        <v>0</v>
      </c>
    </row>
    <row r="444" spans="1:12" x14ac:dyDescent="0.25">
      <c r="A444">
        <v>25</v>
      </c>
      <c r="B444" s="1">
        <v>45501</v>
      </c>
      <c r="C444" t="s">
        <v>4</v>
      </c>
      <c r="D444">
        <v>3</v>
      </c>
      <c r="E444">
        <v>8</v>
      </c>
      <c r="F444" t="s">
        <v>10</v>
      </c>
      <c r="G444">
        <f t="shared" si="53"/>
        <v>8</v>
      </c>
      <c r="H444">
        <f t="shared" si="48"/>
        <v>5</v>
      </c>
      <c r="I444">
        <f t="shared" si="49"/>
        <v>13</v>
      </c>
      <c r="J444">
        <f t="shared" si="51"/>
        <v>0</v>
      </c>
      <c r="K444">
        <f t="shared" si="52"/>
        <v>1</v>
      </c>
      <c r="L444">
        <f t="shared" si="50"/>
        <v>-5</v>
      </c>
    </row>
    <row r="445" spans="1:12" x14ac:dyDescent="0.25">
      <c r="A445">
        <v>25</v>
      </c>
      <c r="B445" s="1">
        <v>45501</v>
      </c>
      <c r="C445" t="s">
        <v>4</v>
      </c>
      <c r="D445">
        <v>4</v>
      </c>
      <c r="E445">
        <v>3</v>
      </c>
      <c r="F445" t="s">
        <v>21</v>
      </c>
      <c r="G445">
        <f t="shared" si="53"/>
        <v>7</v>
      </c>
      <c r="H445">
        <f t="shared" si="48"/>
        <v>3</v>
      </c>
      <c r="I445">
        <f t="shared" si="49"/>
        <v>10</v>
      </c>
      <c r="J445">
        <f t="shared" si="51"/>
        <v>0</v>
      </c>
      <c r="K445">
        <f t="shared" si="52"/>
        <v>0</v>
      </c>
      <c r="L445">
        <f t="shared" si="50"/>
        <v>1</v>
      </c>
    </row>
    <row r="446" spans="1:12" x14ac:dyDescent="0.25">
      <c r="A446">
        <v>25</v>
      </c>
      <c r="B446" s="1">
        <v>45501</v>
      </c>
      <c r="C446" t="s">
        <v>4</v>
      </c>
      <c r="D446">
        <v>5</v>
      </c>
      <c r="E446">
        <v>5</v>
      </c>
      <c r="F446" t="s">
        <v>16</v>
      </c>
      <c r="G446">
        <f t="shared" si="53"/>
        <v>6</v>
      </c>
      <c r="H446">
        <f t="shared" si="48"/>
        <v>1</v>
      </c>
      <c r="I446">
        <f t="shared" si="49"/>
        <v>7</v>
      </c>
      <c r="J446">
        <f t="shared" si="51"/>
        <v>0</v>
      </c>
      <c r="K446">
        <f t="shared" si="52"/>
        <v>0</v>
      </c>
      <c r="L446">
        <f t="shared" si="50"/>
        <v>0</v>
      </c>
    </row>
    <row r="447" spans="1:12" x14ac:dyDescent="0.25">
      <c r="A447">
        <v>25</v>
      </c>
      <c r="B447" s="1">
        <v>45501</v>
      </c>
      <c r="C447" t="s">
        <v>4</v>
      </c>
      <c r="D447">
        <v>6</v>
      </c>
      <c r="E447">
        <v>4</v>
      </c>
      <c r="F447" t="s">
        <v>24</v>
      </c>
      <c r="G447">
        <f t="shared" si="53"/>
        <v>5</v>
      </c>
      <c r="H447">
        <f t="shared" si="48"/>
        <v>0</v>
      </c>
      <c r="I447">
        <f t="shared" si="49"/>
        <v>5</v>
      </c>
      <c r="J447">
        <f t="shared" si="51"/>
        <v>0</v>
      </c>
      <c r="K447">
        <f t="shared" si="52"/>
        <v>0</v>
      </c>
      <c r="L447">
        <f t="shared" si="50"/>
        <v>2</v>
      </c>
    </row>
    <row r="448" spans="1:12" x14ac:dyDescent="0.25">
      <c r="A448">
        <v>25</v>
      </c>
      <c r="B448" s="1">
        <v>45501</v>
      </c>
      <c r="C448" t="s">
        <v>4</v>
      </c>
      <c r="D448">
        <v>7</v>
      </c>
      <c r="E448">
        <v>7</v>
      </c>
      <c r="F448" t="s">
        <v>9</v>
      </c>
      <c r="G448">
        <f t="shared" si="53"/>
        <v>4</v>
      </c>
      <c r="H448">
        <f t="shared" si="48"/>
        <v>0</v>
      </c>
      <c r="I448">
        <f t="shared" si="49"/>
        <v>4</v>
      </c>
      <c r="J448">
        <f t="shared" si="51"/>
        <v>0</v>
      </c>
      <c r="K448">
        <f t="shared" si="52"/>
        <v>0</v>
      </c>
      <c r="L448">
        <f t="shared" si="50"/>
        <v>0</v>
      </c>
    </row>
    <row r="449" spans="1:12" x14ac:dyDescent="0.25">
      <c r="A449">
        <v>25</v>
      </c>
      <c r="B449" s="1">
        <v>45501</v>
      </c>
      <c r="C449" t="s">
        <v>4</v>
      </c>
      <c r="D449">
        <v>8</v>
      </c>
      <c r="E449">
        <v>6</v>
      </c>
      <c r="F449" t="s">
        <v>25</v>
      </c>
      <c r="G449">
        <f t="shared" si="53"/>
        <v>3</v>
      </c>
      <c r="H449">
        <f t="shared" si="48"/>
        <v>0</v>
      </c>
      <c r="I449">
        <f t="shared" si="49"/>
        <v>3</v>
      </c>
      <c r="J449">
        <f t="shared" si="51"/>
        <v>0</v>
      </c>
      <c r="K449">
        <f t="shared" si="52"/>
        <v>0</v>
      </c>
      <c r="L449">
        <f t="shared" si="50"/>
        <v>2</v>
      </c>
    </row>
    <row r="450" spans="1:12" x14ac:dyDescent="0.25">
      <c r="A450">
        <v>25</v>
      </c>
      <c r="B450" s="1">
        <v>45501</v>
      </c>
      <c r="C450" t="s">
        <v>4</v>
      </c>
      <c r="D450">
        <v>9</v>
      </c>
      <c r="E450">
        <v>11</v>
      </c>
      <c r="F450" t="s">
        <v>23</v>
      </c>
      <c r="G450">
        <f t="shared" si="53"/>
        <v>2</v>
      </c>
      <c r="H450">
        <f t="shared" si="48"/>
        <v>0</v>
      </c>
      <c r="I450">
        <f t="shared" si="49"/>
        <v>2</v>
      </c>
      <c r="J450">
        <f t="shared" si="51"/>
        <v>0</v>
      </c>
      <c r="K450">
        <f t="shared" si="52"/>
        <v>0</v>
      </c>
      <c r="L450">
        <f t="shared" si="50"/>
        <v>-2</v>
      </c>
    </row>
    <row r="451" spans="1:12" x14ac:dyDescent="0.25">
      <c r="A451">
        <v>25</v>
      </c>
      <c r="B451" s="1">
        <v>45501</v>
      </c>
      <c r="C451" t="s">
        <v>4</v>
      </c>
      <c r="D451">
        <v>10</v>
      </c>
      <c r="E451">
        <v>11</v>
      </c>
      <c r="F451" t="s">
        <v>20</v>
      </c>
      <c r="G451">
        <f t="shared" si="53"/>
        <v>1</v>
      </c>
      <c r="H451">
        <f t="shared" ref="H451:H477" si="54">IF(D451&lt;6,11-2*D451,0)</f>
        <v>0</v>
      </c>
      <c r="I451">
        <f t="shared" ref="I451:I477" si="55">G451+H451</f>
        <v>1</v>
      </c>
      <c r="J451">
        <f t="shared" si="51"/>
        <v>0</v>
      </c>
      <c r="K451">
        <f t="shared" si="52"/>
        <v>0</v>
      </c>
      <c r="L451">
        <f t="shared" ref="L451:L514" si="56">D451-E451</f>
        <v>-1</v>
      </c>
    </row>
    <row r="452" spans="1:12" x14ac:dyDescent="0.25">
      <c r="A452">
        <v>25</v>
      </c>
      <c r="B452" s="1">
        <v>45501</v>
      </c>
      <c r="C452" t="s">
        <v>29</v>
      </c>
      <c r="D452">
        <v>1</v>
      </c>
      <c r="E452">
        <v>1</v>
      </c>
      <c r="F452" t="s">
        <v>44</v>
      </c>
      <c r="G452">
        <f t="shared" si="53"/>
        <v>10</v>
      </c>
      <c r="H452">
        <f t="shared" si="54"/>
        <v>9</v>
      </c>
      <c r="I452">
        <f t="shared" si="55"/>
        <v>19</v>
      </c>
      <c r="J452">
        <f t="shared" si="51"/>
        <v>1</v>
      </c>
      <c r="K452">
        <f t="shared" si="52"/>
        <v>1</v>
      </c>
      <c r="L452">
        <f t="shared" si="56"/>
        <v>0</v>
      </c>
    </row>
    <row r="453" spans="1:12" x14ac:dyDescent="0.25">
      <c r="A453">
        <v>25</v>
      </c>
      <c r="B453" s="1">
        <v>45501</v>
      </c>
      <c r="C453" t="s">
        <v>29</v>
      </c>
      <c r="D453">
        <v>2</v>
      </c>
      <c r="E453">
        <v>2</v>
      </c>
      <c r="F453" t="s">
        <v>45</v>
      </c>
      <c r="G453">
        <f t="shared" si="53"/>
        <v>9</v>
      </c>
      <c r="H453">
        <f t="shared" si="54"/>
        <v>7</v>
      </c>
      <c r="I453">
        <f t="shared" si="55"/>
        <v>16</v>
      </c>
      <c r="J453">
        <f t="shared" si="51"/>
        <v>0</v>
      </c>
      <c r="K453">
        <f t="shared" si="52"/>
        <v>1</v>
      </c>
      <c r="L453">
        <f t="shared" si="56"/>
        <v>0</v>
      </c>
    </row>
    <row r="454" spans="1:12" x14ac:dyDescent="0.25">
      <c r="A454">
        <v>25</v>
      </c>
      <c r="B454" s="1">
        <v>45501</v>
      </c>
      <c r="C454" t="s">
        <v>29</v>
      </c>
      <c r="D454">
        <v>3</v>
      </c>
      <c r="E454">
        <v>4</v>
      </c>
      <c r="F454" t="s">
        <v>47</v>
      </c>
      <c r="G454">
        <f t="shared" si="53"/>
        <v>8</v>
      </c>
      <c r="H454">
        <f t="shared" si="54"/>
        <v>5</v>
      </c>
      <c r="I454">
        <f t="shared" si="55"/>
        <v>13</v>
      </c>
      <c r="J454">
        <f t="shared" si="51"/>
        <v>0</v>
      </c>
      <c r="K454">
        <f t="shared" si="52"/>
        <v>1</v>
      </c>
      <c r="L454">
        <f t="shared" si="56"/>
        <v>-1</v>
      </c>
    </row>
    <row r="455" spans="1:12" x14ac:dyDescent="0.25">
      <c r="A455">
        <v>25</v>
      </c>
      <c r="B455" s="1">
        <v>45501</v>
      </c>
      <c r="C455" t="s">
        <v>29</v>
      </c>
      <c r="D455">
        <v>4</v>
      </c>
      <c r="E455">
        <v>3</v>
      </c>
      <c r="F455" t="s">
        <v>46</v>
      </c>
      <c r="G455">
        <f t="shared" si="53"/>
        <v>7</v>
      </c>
      <c r="H455">
        <f t="shared" si="54"/>
        <v>3</v>
      </c>
      <c r="I455">
        <f t="shared" si="55"/>
        <v>10</v>
      </c>
      <c r="J455">
        <f t="shared" si="51"/>
        <v>0</v>
      </c>
      <c r="K455">
        <f t="shared" si="52"/>
        <v>0</v>
      </c>
      <c r="L455">
        <f t="shared" si="56"/>
        <v>1</v>
      </c>
    </row>
    <row r="456" spans="1:12" x14ac:dyDescent="0.25">
      <c r="A456">
        <v>25</v>
      </c>
      <c r="B456" s="1">
        <v>45501</v>
      </c>
      <c r="C456" t="s">
        <v>29</v>
      </c>
      <c r="D456">
        <v>5</v>
      </c>
      <c r="E456">
        <v>8</v>
      </c>
      <c r="F456" t="s">
        <v>33</v>
      </c>
      <c r="G456">
        <f t="shared" si="53"/>
        <v>6</v>
      </c>
      <c r="H456">
        <f t="shared" si="54"/>
        <v>1</v>
      </c>
      <c r="I456">
        <f t="shared" si="55"/>
        <v>7</v>
      </c>
      <c r="J456">
        <f t="shared" si="51"/>
        <v>0</v>
      </c>
      <c r="K456">
        <f t="shared" si="52"/>
        <v>0</v>
      </c>
      <c r="L456">
        <f t="shared" si="56"/>
        <v>-3</v>
      </c>
    </row>
    <row r="457" spans="1:12" x14ac:dyDescent="0.25">
      <c r="A457">
        <v>25</v>
      </c>
      <c r="B457" s="1">
        <v>45501</v>
      </c>
      <c r="C457" t="s">
        <v>29</v>
      </c>
      <c r="D457">
        <v>6</v>
      </c>
      <c r="E457">
        <v>9</v>
      </c>
      <c r="F457" t="s">
        <v>41</v>
      </c>
      <c r="G457">
        <f t="shared" si="53"/>
        <v>5</v>
      </c>
      <c r="H457">
        <f t="shared" si="54"/>
        <v>0</v>
      </c>
      <c r="I457">
        <f t="shared" si="55"/>
        <v>5</v>
      </c>
      <c r="J457">
        <f t="shared" si="51"/>
        <v>0</v>
      </c>
      <c r="K457">
        <f t="shared" si="52"/>
        <v>0</v>
      </c>
      <c r="L457">
        <f t="shared" si="56"/>
        <v>-3</v>
      </c>
    </row>
    <row r="458" spans="1:12" x14ac:dyDescent="0.25">
      <c r="A458">
        <v>25</v>
      </c>
      <c r="B458" s="1">
        <v>45501</v>
      </c>
      <c r="C458" t="s">
        <v>29</v>
      </c>
      <c r="D458">
        <v>7</v>
      </c>
      <c r="E458">
        <v>6</v>
      </c>
      <c r="F458" t="s">
        <v>48</v>
      </c>
      <c r="G458">
        <f t="shared" si="53"/>
        <v>4</v>
      </c>
      <c r="H458">
        <f t="shared" si="54"/>
        <v>0</v>
      </c>
      <c r="I458">
        <f t="shared" si="55"/>
        <v>4</v>
      </c>
      <c r="J458">
        <f t="shared" si="51"/>
        <v>0</v>
      </c>
      <c r="K458">
        <f t="shared" si="52"/>
        <v>0</v>
      </c>
      <c r="L458">
        <f t="shared" si="56"/>
        <v>1</v>
      </c>
    </row>
    <row r="459" spans="1:12" x14ac:dyDescent="0.25">
      <c r="A459">
        <v>25</v>
      </c>
      <c r="B459" s="1">
        <v>45501</v>
      </c>
      <c r="C459" t="s">
        <v>29</v>
      </c>
      <c r="D459">
        <v>8</v>
      </c>
      <c r="E459">
        <v>11</v>
      </c>
      <c r="F459" t="s">
        <v>42</v>
      </c>
      <c r="G459">
        <f t="shared" si="53"/>
        <v>3</v>
      </c>
      <c r="H459">
        <f t="shared" si="54"/>
        <v>0</v>
      </c>
      <c r="I459">
        <f t="shared" si="55"/>
        <v>3</v>
      </c>
      <c r="J459">
        <f t="shared" si="51"/>
        <v>0</v>
      </c>
      <c r="K459">
        <f t="shared" si="52"/>
        <v>0</v>
      </c>
      <c r="L459">
        <f t="shared" si="56"/>
        <v>-3</v>
      </c>
    </row>
    <row r="460" spans="1:12" x14ac:dyDescent="0.25">
      <c r="A460">
        <v>25</v>
      </c>
      <c r="B460" s="1">
        <v>45501</v>
      </c>
      <c r="C460" t="s">
        <v>29</v>
      </c>
      <c r="D460">
        <v>9</v>
      </c>
      <c r="E460">
        <v>5</v>
      </c>
      <c r="F460" t="s">
        <v>49</v>
      </c>
      <c r="G460">
        <f t="shared" si="53"/>
        <v>2</v>
      </c>
      <c r="H460">
        <f t="shared" si="54"/>
        <v>0</v>
      </c>
      <c r="I460">
        <f t="shared" si="55"/>
        <v>2</v>
      </c>
      <c r="J460">
        <f t="shared" si="51"/>
        <v>0</v>
      </c>
      <c r="K460">
        <f t="shared" si="52"/>
        <v>0</v>
      </c>
      <c r="L460">
        <f t="shared" si="56"/>
        <v>4</v>
      </c>
    </row>
    <row r="461" spans="1:12" x14ac:dyDescent="0.25">
      <c r="A461">
        <v>25</v>
      </c>
      <c r="B461" s="1">
        <v>45501</v>
      </c>
      <c r="C461" t="s">
        <v>29</v>
      </c>
      <c r="D461">
        <v>10</v>
      </c>
      <c r="E461">
        <v>11</v>
      </c>
      <c r="F461" t="s">
        <v>31</v>
      </c>
      <c r="G461">
        <f t="shared" si="53"/>
        <v>1</v>
      </c>
      <c r="H461">
        <f t="shared" si="54"/>
        <v>0</v>
      </c>
      <c r="I461">
        <f t="shared" si="55"/>
        <v>1</v>
      </c>
      <c r="J461">
        <f t="shared" ref="J461:J524" si="57">COUNTIF(D461,"=1")</f>
        <v>0</v>
      </c>
      <c r="K461">
        <f t="shared" ref="K461:K524" si="58">COUNTIF(D461,"&lt;4")</f>
        <v>0</v>
      </c>
      <c r="L461">
        <f t="shared" si="56"/>
        <v>-1</v>
      </c>
    </row>
    <row r="462" spans="1:12" x14ac:dyDescent="0.25">
      <c r="A462">
        <v>26</v>
      </c>
      <c r="B462" s="1">
        <v>45508</v>
      </c>
      <c r="C462" t="s">
        <v>4</v>
      </c>
      <c r="D462">
        <v>1</v>
      </c>
      <c r="E462">
        <v>3</v>
      </c>
      <c r="F462" t="s">
        <v>10</v>
      </c>
      <c r="G462">
        <f t="shared" si="53"/>
        <v>10</v>
      </c>
      <c r="H462">
        <f t="shared" si="54"/>
        <v>9</v>
      </c>
      <c r="I462">
        <f t="shared" si="55"/>
        <v>19</v>
      </c>
      <c r="J462">
        <f t="shared" si="57"/>
        <v>1</v>
      </c>
      <c r="K462">
        <f t="shared" si="58"/>
        <v>1</v>
      </c>
      <c r="L462">
        <f t="shared" si="56"/>
        <v>-2</v>
      </c>
    </row>
    <row r="463" spans="1:12" x14ac:dyDescent="0.25">
      <c r="A463">
        <v>26</v>
      </c>
      <c r="B463" s="1">
        <v>45508</v>
      </c>
      <c r="C463" t="s">
        <v>4</v>
      </c>
      <c r="D463">
        <v>2</v>
      </c>
      <c r="E463">
        <v>2</v>
      </c>
      <c r="F463" t="s">
        <v>19</v>
      </c>
      <c r="G463">
        <f t="shared" si="53"/>
        <v>9</v>
      </c>
      <c r="H463">
        <f t="shared" si="54"/>
        <v>7</v>
      </c>
      <c r="I463">
        <f t="shared" si="55"/>
        <v>16</v>
      </c>
      <c r="J463">
        <f t="shared" si="57"/>
        <v>0</v>
      </c>
      <c r="K463">
        <f t="shared" si="58"/>
        <v>1</v>
      </c>
      <c r="L463">
        <f t="shared" si="56"/>
        <v>0</v>
      </c>
    </row>
    <row r="464" spans="1:12" x14ac:dyDescent="0.25">
      <c r="A464">
        <v>26</v>
      </c>
      <c r="B464" s="1">
        <v>45508</v>
      </c>
      <c r="C464" t="s">
        <v>4</v>
      </c>
      <c r="D464">
        <v>3</v>
      </c>
      <c r="E464">
        <v>7</v>
      </c>
      <c r="F464" t="s">
        <v>9</v>
      </c>
      <c r="G464">
        <f t="shared" si="53"/>
        <v>8</v>
      </c>
      <c r="H464">
        <f t="shared" si="54"/>
        <v>5</v>
      </c>
      <c r="I464">
        <f t="shared" si="55"/>
        <v>13</v>
      </c>
      <c r="J464">
        <f t="shared" si="57"/>
        <v>0</v>
      </c>
      <c r="K464">
        <f t="shared" si="58"/>
        <v>1</v>
      </c>
      <c r="L464">
        <f t="shared" si="56"/>
        <v>-4</v>
      </c>
    </row>
    <row r="465" spans="1:12" x14ac:dyDescent="0.25">
      <c r="A465">
        <v>26</v>
      </c>
      <c r="B465" s="1">
        <v>45508</v>
      </c>
      <c r="C465" t="s">
        <v>4</v>
      </c>
      <c r="D465">
        <v>4</v>
      </c>
      <c r="E465">
        <v>5</v>
      </c>
      <c r="F465" t="s">
        <v>16</v>
      </c>
      <c r="G465">
        <f t="shared" si="53"/>
        <v>7</v>
      </c>
      <c r="H465">
        <f t="shared" si="54"/>
        <v>3</v>
      </c>
      <c r="I465">
        <f t="shared" si="55"/>
        <v>10</v>
      </c>
      <c r="J465">
        <f t="shared" si="57"/>
        <v>0</v>
      </c>
      <c r="K465">
        <f t="shared" si="58"/>
        <v>0</v>
      </c>
      <c r="L465">
        <f t="shared" si="56"/>
        <v>-1</v>
      </c>
    </row>
    <row r="466" spans="1:12" x14ac:dyDescent="0.25">
      <c r="A466">
        <v>26</v>
      </c>
      <c r="B466" s="1">
        <v>45508</v>
      </c>
      <c r="C466" t="s">
        <v>4</v>
      </c>
      <c r="D466">
        <v>5</v>
      </c>
      <c r="E466">
        <v>4</v>
      </c>
      <c r="F466" t="s">
        <v>21</v>
      </c>
      <c r="G466">
        <f t="shared" si="53"/>
        <v>6</v>
      </c>
      <c r="H466">
        <f t="shared" si="54"/>
        <v>1</v>
      </c>
      <c r="I466">
        <f t="shared" si="55"/>
        <v>7</v>
      </c>
      <c r="J466">
        <f t="shared" si="57"/>
        <v>0</v>
      </c>
      <c r="K466">
        <f t="shared" si="58"/>
        <v>0</v>
      </c>
      <c r="L466">
        <f t="shared" si="56"/>
        <v>1</v>
      </c>
    </row>
    <row r="467" spans="1:12" x14ac:dyDescent="0.25">
      <c r="A467">
        <v>26</v>
      </c>
      <c r="B467" s="1">
        <v>45508</v>
      </c>
      <c r="C467" t="s">
        <v>4</v>
      </c>
      <c r="D467">
        <v>6</v>
      </c>
      <c r="E467">
        <v>1</v>
      </c>
      <c r="F467" t="s">
        <v>22</v>
      </c>
      <c r="G467">
        <f t="shared" si="53"/>
        <v>5</v>
      </c>
      <c r="H467">
        <f t="shared" si="54"/>
        <v>0</v>
      </c>
      <c r="I467">
        <f t="shared" si="55"/>
        <v>5</v>
      </c>
      <c r="J467">
        <f t="shared" si="57"/>
        <v>0</v>
      </c>
      <c r="K467">
        <f t="shared" si="58"/>
        <v>0</v>
      </c>
      <c r="L467">
        <f t="shared" si="56"/>
        <v>5</v>
      </c>
    </row>
    <row r="468" spans="1:12" x14ac:dyDescent="0.25">
      <c r="A468">
        <v>26</v>
      </c>
      <c r="B468" s="1">
        <v>45508</v>
      </c>
      <c r="C468" t="s">
        <v>4</v>
      </c>
      <c r="D468">
        <v>7</v>
      </c>
      <c r="E468">
        <v>10</v>
      </c>
      <c r="F468" t="s">
        <v>20</v>
      </c>
      <c r="G468">
        <f t="shared" si="53"/>
        <v>4</v>
      </c>
      <c r="H468">
        <f t="shared" si="54"/>
        <v>0</v>
      </c>
      <c r="I468">
        <f t="shared" si="55"/>
        <v>4</v>
      </c>
      <c r="J468">
        <f t="shared" si="57"/>
        <v>0</v>
      </c>
      <c r="K468">
        <f t="shared" si="58"/>
        <v>0</v>
      </c>
      <c r="L468">
        <f t="shared" si="56"/>
        <v>-3</v>
      </c>
    </row>
    <row r="469" spans="1:12" x14ac:dyDescent="0.25">
      <c r="A469">
        <v>26</v>
      </c>
      <c r="B469" s="1">
        <v>45508</v>
      </c>
      <c r="C469" t="s">
        <v>4</v>
      </c>
      <c r="D469">
        <v>8</v>
      </c>
      <c r="E469">
        <v>11</v>
      </c>
      <c r="F469" t="s">
        <v>13</v>
      </c>
      <c r="G469">
        <f t="shared" si="53"/>
        <v>3</v>
      </c>
      <c r="H469">
        <f t="shared" si="54"/>
        <v>0</v>
      </c>
      <c r="I469">
        <f t="shared" si="55"/>
        <v>3</v>
      </c>
      <c r="J469">
        <f t="shared" si="57"/>
        <v>0</v>
      </c>
      <c r="K469">
        <f t="shared" si="58"/>
        <v>0</v>
      </c>
      <c r="L469">
        <f t="shared" si="56"/>
        <v>-3</v>
      </c>
    </row>
    <row r="470" spans="1:12" x14ac:dyDescent="0.25">
      <c r="A470">
        <v>26</v>
      </c>
      <c r="B470" s="1">
        <v>45508</v>
      </c>
      <c r="C470" t="s">
        <v>4</v>
      </c>
      <c r="D470">
        <v>9</v>
      </c>
      <c r="E470">
        <v>9</v>
      </c>
      <c r="F470" t="s">
        <v>23</v>
      </c>
      <c r="G470">
        <f t="shared" ref="G470:G477" si="59">11-D470</f>
        <v>2</v>
      </c>
      <c r="H470">
        <f t="shared" si="54"/>
        <v>0</v>
      </c>
      <c r="I470">
        <f t="shared" si="55"/>
        <v>2</v>
      </c>
      <c r="J470">
        <f t="shared" si="57"/>
        <v>0</v>
      </c>
      <c r="K470">
        <f t="shared" si="58"/>
        <v>0</v>
      </c>
      <c r="L470">
        <f t="shared" si="56"/>
        <v>0</v>
      </c>
    </row>
    <row r="471" spans="1:12" x14ac:dyDescent="0.25">
      <c r="A471">
        <v>26</v>
      </c>
      <c r="B471" s="1">
        <v>45508</v>
      </c>
      <c r="C471" t="s">
        <v>4</v>
      </c>
      <c r="D471">
        <v>10</v>
      </c>
      <c r="E471">
        <v>6</v>
      </c>
      <c r="F471" t="s">
        <v>24</v>
      </c>
      <c r="G471">
        <f t="shared" si="59"/>
        <v>1</v>
      </c>
      <c r="H471">
        <f t="shared" si="54"/>
        <v>0</v>
      </c>
      <c r="I471">
        <f t="shared" si="55"/>
        <v>1</v>
      </c>
      <c r="J471">
        <f t="shared" si="57"/>
        <v>0</v>
      </c>
      <c r="K471">
        <f t="shared" si="58"/>
        <v>0</v>
      </c>
      <c r="L471">
        <f t="shared" si="56"/>
        <v>4</v>
      </c>
    </row>
    <row r="472" spans="1:12" x14ac:dyDescent="0.25">
      <c r="A472">
        <v>26</v>
      </c>
      <c r="B472" s="1">
        <v>45508</v>
      </c>
      <c r="C472" t="s">
        <v>29</v>
      </c>
      <c r="D472">
        <v>1</v>
      </c>
      <c r="E472">
        <v>5</v>
      </c>
      <c r="F472" t="s">
        <v>33</v>
      </c>
      <c r="G472">
        <f t="shared" si="59"/>
        <v>10</v>
      </c>
      <c r="H472">
        <f t="shared" si="54"/>
        <v>9</v>
      </c>
      <c r="I472">
        <f t="shared" si="55"/>
        <v>19</v>
      </c>
      <c r="J472">
        <f t="shared" si="57"/>
        <v>1</v>
      </c>
      <c r="K472">
        <f t="shared" si="58"/>
        <v>1</v>
      </c>
      <c r="L472">
        <f t="shared" si="56"/>
        <v>-4</v>
      </c>
    </row>
    <row r="473" spans="1:12" x14ac:dyDescent="0.25">
      <c r="A473">
        <v>26</v>
      </c>
      <c r="B473" s="1">
        <v>45508</v>
      </c>
      <c r="C473" t="s">
        <v>29</v>
      </c>
      <c r="D473">
        <v>2</v>
      </c>
      <c r="E473">
        <v>2</v>
      </c>
      <c r="F473" t="s">
        <v>45</v>
      </c>
      <c r="G473">
        <f t="shared" si="59"/>
        <v>9</v>
      </c>
      <c r="H473">
        <f t="shared" si="54"/>
        <v>7</v>
      </c>
      <c r="I473">
        <f t="shared" si="55"/>
        <v>16</v>
      </c>
      <c r="J473">
        <f t="shared" si="57"/>
        <v>0</v>
      </c>
      <c r="K473">
        <f t="shared" si="58"/>
        <v>1</v>
      </c>
      <c r="L473">
        <f t="shared" si="56"/>
        <v>0</v>
      </c>
    </row>
    <row r="474" spans="1:12" x14ac:dyDescent="0.25">
      <c r="A474">
        <v>26</v>
      </c>
      <c r="B474" s="1">
        <v>45508</v>
      </c>
      <c r="C474" t="s">
        <v>29</v>
      </c>
      <c r="D474">
        <v>3</v>
      </c>
      <c r="E474">
        <v>8</v>
      </c>
      <c r="F474" t="s">
        <v>42</v>
      </c>
      <c r="G474">
        <f t="shared" si="59"/>
        <v>8</v>
      </c>
      <c r="H474">
        <f t="shared" si="54"/>
        <v>5</v>
      </c>
      <c r="I474">
        <f t="shared" si="55"/>
        <v>13</v>
      </c>
      <c r="J474">
        <f t="shared" si="57"/>
        <v>0</v>
      </c>
      <c r="K474">
        <f t="shared" si="58"/>
        <v>1</v>
      </c>
      <c r="L474">
        <f t="shared" si="56"/>
        <v>-5</v>
      </c>
    </row>
    <row r="475" spans="1:12" x14ac:dyDescent="0.25">
      <c r="A475">
        <v>26</v>
      </c>
      <c r="B475" s="1">
        <v>45508</v>
      </c>
      <c r="C475" t="s">
        <v>29</v>
      </c>
      <c r="D475">
        <v>4</v>
      </c>
      <c r="E475">
        <v>6</v>
      </c>
      <c r="F475" t="s">
        <v>41</v>
      </c>
      <c r="G475">
        <f t="shared" si="59"/>
        <v>7</v>
      </c>
      <c r="H475">
        <f t="shared" si="54"/>
        <v>3</v>
      </c>
      <c r="I475">
        <f t="shared" si="55"/>
        <v>10</v>
      </c>
      <c r="J475">
        <f t="shared" si="57"/>
        <v>0</v>
      </c>
      <c r="K475">
        <f t="shared" si="58"/>
        <v>0</v>
      </c>
      <c r="L475">
        <f t="shared" si="56"/>
        <v>-2</v>
      </c>
    </row>
    <row r="476" spans="1:12" x14ac:dyDescent="0.25">
      <c r="A476">
        <v>26</v>
      </c>
      <c r="B476" s="1">
        <v>45508</v>
      </c>
      <c r="C476" t="s">
        <v>29</v>
      </c>
      <c r="D476">
        <v>5</v>
      </c>
      <c r="E476">
        <v>10</v>
      </c>
      <c r="F476" t="s">
        <v>31</v>
      </c>
      <c r="G476">
        <f t="shared" si="59"/>
        <v>6</v>
      </c>
      <c r="H476">
        <f t="shared" si="54"/>
        <v>1</v>
      </c>
      <c r="I476">
        <f t="shared" si="55"/>
        <v>7</v>
      </c>
      <c r="J476">
        <f t="shared" si="57"/>
        <v>0</v>
      </c>
      <c r="K476">
        <f t="shared" si="58"/>
        <v>0</v>
      </c>
      <c r="L476">
        <f t="shared" si="56"/>
        <v>-5</v>
      </c>
    </row>
    <row r="477" spans="1:12" x14ac:dyDescent="0.25">
      <c r="A477">
        <v>26</v>
      </c>
      <c r="B477" s="1">
        <v>45508</v>
      </c>
      <c r="C477" t="s">
        <v>29</v>
      </c>
      <c r="D477">
        <v>6</v>
      </c>
      <c r="E477">
        <v>1</v>
      </c>
      <c r="F477" t="s">
        <v>44</v>
      </c>
      <c r="G477">
        <f t="shared" si="59"/>
        <v>5</v>
      </c>
      <c r="H477">
        <f t="shared" si="54"/>
        <v>0</v>
      </c>
      <c r="I477">
        <f t="shared" si="55"/>
        <v>5</v>
      </c>
      <c r="J477">
        <f t="shared" si="57"/>
        <v>0</v>
      </c>
      <c r="K477">
        <f t="shared" si="58"/>
        <v>0</v>
      </c>
      <c r="L477">
        <f t="shared" si="56"/>
        <v>5</v>
      </c>
    </row>
    <row r="478" spans="1:12" x14ac:dyDescent="0.25">
      <c r="A478">
        <v>26</v>
      </c>
      <c r="B478" s="1">
        <v>45508</v>
      </c>
      <c r="C478" t="s">
        <v>29</v>
      </c>
      <c r="D478">
        <v>7</v>
      </c>
      <c r="E478">
        <v>11</v>
      </c>
      <c r="F478" t="s">
        <v>30</v>
      </c>
      <c r="G478">
        <f t="shared" ref="G478:G541" si="60">11-D478</f>
        <v>4</v>
      </c>
      <c r="H478">
        <f t="shared" ref="H478:H541" si="61">IF(D478&lt;6,11-2*D478,0)</f>
        <v>0</v>
      </c>
      <c r="I478">
        <f t="shared" ref="I478:I541" si="62">G478+H478</f>
        <v>4</v>
      </c>
      <c r="J478">
        <f t="shared" si="57"/>
        <v>0</v>
      </c>
      <c r="K478">
        <f t="shared" si="58"/>
        <v>0</v>
      </c>
      <c r="L478">
        <f t="shared" si="56"/>
        <v>-4</v>
      </c>
    </row>
    <row r="479" spans="1:12" x14ac:dyDescent="0.25">
      <c r="A479">
        <v>26</v>
      </c>
      <c r="B479" s="1">
        <v>45508</v>
      </c>
      <c r="C479" t="s">
        <v>29</v>
      </c>
      <c r="D479">
        <v>8</v>
      </c>
      <c r="E479">
        <v>4</v>
      </c>
      <c r="F479" t="s">
        <v>46</v>
      </c>
      <c r="G479">
        <f t="shared" si="60"/>
        <v>3</v>
      </c>
      <c r="H479">
        <f t="shared" si="61"/>
        <v>0</v>
      </c>
      <c r="I479">
        <f t="shared" si="62"/>
        <v>3</v>
      </c>
      <c r="J479">
        <f t="shared" si="57"/>
        <v>0</v>
      </c>
      <c r="K479">
        <f t="shared" si="58"/>
        <v>0</v>
      </c>
      <c r="L479">
        <f t="shared" si="56"/>
        <v>4</v>
      </c>
    </row>
    <row r="480" spans="1:12" x14ac:dyDescent="0.25">
      <c r="A480">
        <v>26</v>
      </c>
      <c r="B480" s="1">
        <v>45508</v>
      </c>
      <c r="C480" t="s">
        <v>29</v>
      </c>
      <c r="D480">
        <v>9</v>
      </c>
      <c r="E480">
        <v>11</v>
      </c>
      <c r="F480" t="s">
        <v>36</v>
      </c>
      <c r="G480">
        <f t="shared" si="60"/>
        <v>2</v>
      </c>
      <c r="H480">
        <f t="shared" si="61"/>
        <v>0</v>
      </c>
      <c r="I480">
        <f t="shared" si="62"/>
        <v>2</v>
      </c>
      <c r="J480">
        <f t="shared" si="57"/>
        <v>0</v>
      </c>
      <c r="K480">
        <f t="shared" si="58"/>
        <v>0</v>
      </c>
      <c r="L480">
        <f t="shared" si="56"/>
        <v>-2</v>
      </c>
    </row>
    <row r="481" spans="1:12" x14ac:dyDescent="0.25">
      <c r="A481">
        <v>26</v>
      </c>
      <c r="B481" s="1">
        <v>45508</v>
      </c>
      <c r="C481" t="s">
        <v>29</v>
      </c>
      <c r="D481">
        <v>10</v>
      </c>
      <c r="E481">
        <v>3</v>
      </c>
      <c r="F481" t="s">
        <v>47</v>
      </c>
      <c r="G481">
        <f t="shared" si="60"/>
        <v>1</v>
      </c>
      <c r="H481">
        <f t="shared" si="61"/>
        <v>0</v>
      </c>
      <c r="I481">
        <f t="shared" si="62"/>
        <v>1</v>
      </c>
      <c r="J481">
        <f t="shared" si="57"/>
        <v>0</v>
      </c>
      <c r="K481">
        <f t="shared" si="58"/>
        <v>0</v>
      </c>
      <c r="L481">
        <f t="shared" si="56"/>
        <v>7</v>
      </c>
    </row>
    <row r="482" spans="1:12" x14ac:dyDescent="0.25">
      <c r="A482">
        <v>27</v>
      </c>
      <c r="B482" s="1">
        <v>45515</v>
      </c>
      <c r="C482" t="s">
        <v>4</v>
      </c>
      <c r="D482">
        <v>1</v>
      </c>
      <c r="E482">
        <v>1</v>
      </c>
      <c r="F482" t="s">
        <v>10</v>
      </c>
      <c r="G482">
        <f t="shared" si="60"/>
        <v>10</v>
      </c>
      <c r="H482">
        <f t="shared" si="61"/>
        <v>9</v>
      </c>
      <c r="I482">
        <f t="shared" si="62"/>
        <v>19</v>
      </c>
      <c r="J482">
        <f t="shared" si="57"/>
        <v>1</v>
      </c>
      <c r="K482">
        <f t="shared" si="58"/>
        <v>1</v>
      </c>
      <c r="L482">
        <f t="shared" si="56"/>
        <v>0</v>
      </c>
    </row>
    <row r="483" spans="1:12" x14ac:dyDescent="0.25">
      <c r="A483">
        <v>27</v>
      </c>
      <c r="B483" s="1">
        <v>45515</v>
      </c>
      <c r="C483" t="s">
        <v>4</v>
      </c>
      <c r="D483">
        <v>2</v>
      </c>
      <c r="E483">
        <v>3</v>
      </c>
      <c r="F483" t="s">
        <v>9</v>
      </c>
      <c r="G483">
        <f t="shared" si="60"/>
        <v>9</v>
      </c>
      <c r="H483">
        <f t="shared" si="61"/>
        <v>7</v>
      </c>
      <c r="I483">
        <f t="shared" si="62"/>
        <v>16</v>
      </c>
      <c r="J483">
        <f t="shared" si="57"/>
        <v>0</v>
      </c>
      <c r="K483">
        <f t="shared" si="58"/>
        <v>1</v>
      </c>
      <c r="L483">
        <f t="shared" si="56"/>
        <v>-1</v>
      </c>
    </row>
    <row r="484" spans="1:12" x14ac:dyDescent="0.25">
      <c r="A484">
        <v>27</v>
      </c>
      <c r="B484" s="1">
        <v>45515</v>
      </c>
      <c r="C484" t="s">
        <v>4</v>
      </c>
      <c r="D484">
        <v>3</v>
      </c>
      <c r="E484">
        <v>2</v>
      </c>
      <c r="F484" t="s">
        <v>19</v>
      </c>
      <c r="G484">
        <f t="shared" si="60"/>
        <v>8</v>
      </c>
      <c r="H484">
        <f t="shared" si="61"/>
        <v>5</v>
      </c>
      <c r="I484">
        <f t="shared" si="62"/>
        <v>13</v>
      </c>
      <c r="J484">
        <f t="shared" si="57"/>
        <v>0</v>
      </c>
      <c r="K484">
        <f t="shared" si="58"/>
        <v>1</v>
      </c>
      <c r="L484">
        <f t="shared" si="56"/>
        <v>1</v>
      </c>
    </row>
    <row r="485" spans="1:12" x14ac:dyDescent="0.25">
      <c r="A485">
        <v>27</v>
      </c>
      <c r="B485" s="1">
        <v>45515</v>
      </c>
      <c r="C485" t="s">
        <v>4</v>
      </c>
      <c r="D485">
        <v>4</v>
      </c>
      <c r="E485">
        <v>4</v>
      </c>
      <c r="F485" t="s">
        <v>16</v>
      </c>
      <c r="G485">
        <f t="shared" si="60"/>
        <v>7</v>
      </c>
      <c r="H485">
        <f t="shared" si="61"/>
        <v>3</v>
      </c>
      <c r="I485">
        <f t="shared" si="62"/>
        <v>10</v>
      </c>
      <c r="J485">
        <f t="shared" si="57"/>
        <v>0</v>
      </c>
      <c r="K485">
        <f t="shared" si="58"/>
        <v>0</v>
      </c>
      <c r="L485">
        <f t="shared" si="56"/>
        <v>0</v>
      </c>
    </row>
    <row r="486" spans="1:12" x14ac:dyDescent="0.25">
      <c r="A486">
        <v>27</v>
      </c>
      <c r="B486" s="1">
        <v>45515</v>
      </c>
      <c r="C486" t="s">
        <v>4</v>
      </c>
      <c r="D486">
        <v>5</v>
      </c>
      <c r="E486">
        <v>8</v>
      </c>
      <c r="F486" t="s">
        <v>13</v>
      </c>
      <c r="G486">
        <f t="shared" si="60"/>
        <v>6</v>
      </c>
      <c r="H486">
        <f t="shared" si="61"/>
        <v>1</v>
      </c>
      <c r="I486">
        <f t="shared" si="62"/>
        <v>7</v>
      </c>
      <c r="J486">
        <f t="shared" si="57"/>
        <v>0</v>
      </c>
      <c r="K486">
        <f t="shared" si="58"/>
        <v>0</v>
      </c>
      <c r="L486">
        <f t="shared" si="56"/>
        <v>-3</v>
      </c>
    </row>
    <row r="487" spans="1:12" x14ac:dyDescent="0.25">
      <c r="A487">
        <v>27</v>
      </c>
      <c r="B487" s="1">
        <v>45515</v>
      </c>
      <c r="C487" t="s">
        <v>4</v>
      </c>
      <c r="D487">
        <v>6</v>
      </c>
      <c r="E487">
        <v>5</v>
      </c>
      <c r="F487" t="s">
        <v>21</v>
      </c>
      <c r="G487">
        <f t="shared" si="60"/>
        <v>5</v>
      </c>
      <c r="H487">
        <f t="shared" si="61"/>
        <v>0</v>
      </c>
      <c r="I487">
        <f t="shared" si="62"/>
        <v>5</v>
      </c>
      <c r="J487">
        <f t="shared" si="57"/>
        <v>0</v>
      </c>
      <c r="K487">
        <f t="shared" si="58"/>
        <v>0</v>
      </c>
      <c r="L487">
        <f t="shared" si="56"/>
        <v>1</v>
      </c>
    </row>
    <row r="488" spans="1:12" x14ac:dyDescent="0.25">
      <c r="A488">
        <v>27</v>
      </c>
      <c r="B488" s="1">
        <v>45515</v>
      </c>
      <c r="C488" t="s">
        <v>4</v>
      </c>
      <c r="D488">
        <v>7</v>
      </c>
      <c r="E488">
        <v>7</v>
      </c>
      <c r="F488" t="s">
        <v>20</v>
      </c>
      <c r="G488">
        <f t="shared" si="60"/>
        <v>4</v>
      </c>
      <c r="H488">
        <f t="shared" si="61"/>
        <v>0</v>
      </c>
      <c r="I488">
        <f t="shared" si="62"/>
        <v>4</v>
      </c>
      <c r="J488">
        <f t="shared" si="57"/>
        <v>0</v>
      </c>
      <c r="K488">
        <f t="shared" si="58"/>
        <v>0</v>
      </c>
      <c r="L488">
        <f t="shared" si="56"/>
        <v>0</v>
      </c>
    </row>
    <row r="489" spans="1:12" x14ac:dyDescent="0.25">
      <c r="A489">
        <v>27</v>
      </c>
      <c r="B489" s="1">
        <v>45515</v>
      </c>
      <c r="C489" t="s">
        <v>4</v>
      </c>
      <c r="D489">
        <v>8</v>
      </c>
      <c r="E489">
        <v>11</v>
      </c>
      <c r="F489" t="s">
        <v>17</v>
      </c>
      <c r="G489">
        <f t="shared" si="60"/>
        <v>3</v>
      </c>
      <c r="H489">
        <f t="shared" si="61"/>
        <v>0</v>
      </c>
      <c r="I489">
        <f t="shared" si="62"/>
        <v>3</v>
      </c>
      <c r="J489">
        <f t="shared" si="57"/>
        <v>0</v>
      </c>
      <c r="K489">
        <f t="shared" si="58"/>
        <v>0</v>
      </c>
      <c r="L489">
        <f t="shared" si="56"/>
        <v>-3</v>
      </c>
    </row>
    <row r="490" spans="1:12" x14ac:dyDescent="0.25">
      <c r="A490">
        <v>27</v>
      </c>
      <c r="B490" s="1">
        <v>45515</v>
      </c>
      <c r="C490" t="s">
        <v>4</v>
      </c>
      <c r="D490">
        <v>9</v>
      </c>
      <c r="E490">
        <v>6</v>
      </c>
      <c r="F490" t="s">
        <v>22</v>
      </c>
      <c r="G490">
        <f t="shared" si="60"/>
        <v>2</v>
      </c>
      <c r="H490">
        <f t="shared" si="61"/>
        <v>0</v>
      </c>
      <c r="I490">
        <f t="shared" si="62"/>
        <v>2</v>
      </c>
      <c r="J490">
        <f t="shared" si="57"/>
        <v>0</v>
      </c>
      <c r="K490">
        <f t="shared" si="58"/>
        <v>0</v>
      </c>
      <c r="L490">
        <f t="shared" si="56"/>
        <v>3</v>
      </c>
    </row>
    <row r="491" spans="1:12" x14ac:dyDescent="0.25">
      <c r="A491">
        <v>27</v>
      </c>
      <c r="B491" s="1">
        <v>45515</v>
      </c>
      <c r="C491" t="s">
        <v>4</v>
      </c>
      <c r="D491">
        <v>10</v>
      </c>
      <c r="E491">
        <v>9</v>
      </c>
      <c r="F491" t="s">
        <v>23</v>
      </c>
      <c r="G491">
        <f t="shared" si="60"/>
        <v>1</v>
      </c>
      <c r="H491">
        <f t="shared" si="61"/>
        <v>0</v>
      </c>
      <c r="I491">
        <f t="shared" si="62"/>
        <v>1</v>
      </c>
      <c r="J491">
        <f t="shared" si="57"/>
        <v>0</v>
      </c>
      <c r="K491">
        <f t="shared" si="58"/>
        <v>0</v>
      </c>
      <c r="L491">
        <f t="shared" si="56"/>
        <v>1</v>
      </c>
    </row>
    <row r="492" spans="1:12" x14ac:dyDescent="0.25">
      <c r="A492">
        <v>27</v>
      </c>
      <c r="B492" s="1">
        <v>45515</v>
      </c>
      <c r="C492" t="s">
        <v>29</v>
      </c>
      <c r="D492">
        <v>1</v>
      </c>
      <c r="E492">
        <v>1</v>
      </c>
      <c r="F492" t="s">
        <v>33</v>
      </c>
      <c r="G492">
        <f t="shared" si="60"/>
        <v>10</v>
      </c>
      <c r="H492">
        <f t="shared" si="61"/>
        <v>9</v>
      </c>
      <c r="I492">
        <f t="shared" si="62"/>
        <v>19</v>
      </c>
      <c r="J492">
        <f t="shared" si="57"/>
        <v>1</v>
      </c>
      <c r="K492">
        <f t="shared" si="58"/>
        <v>1</v>
      </c>
      <c r="L492">
        <f t="shared" si="56"/>
        <v>0</v>
      </c>
    </row>
    <row r="493" spans="1:12" x14ac:dyDescent="0.25">
      <c r="A493">
        <v>27</v>
      </c>
      <c r="B493" s="1">
        <v>45515</v>
      </c>
      <c r="C493" t="s">
        <v>29</v>
      </c>
      <c r="D493">
        <v>2</v>
      </c>
      <c r="E493">
        <v>3</v>
      </c>
      <c r="F493" t="s">
        <v>42</v>
      </c>
      <c r="G493">
        <f t="shared" si="60"/>
        <v>9</v>
      </c>
      <c r="H493">
        <f t="shared" si="61"/>
        <v>7</v>
      </c>
      <c r="I493">
        <f t="shared" si="62"/>
        <v>16</v>
      </c>
      <c r="J493">
        <f t="shared" si="57"/>
        <v>0</v>
      </c>
      <c r="K493">
        <f t="shared" si="58"/>
        <v>1</v>
      </c>
      <c r="L493">
        <f t="shared" si="56"/>
        <v>-1</v>
      </c>
    </row>
    <row r="494" spans="1:12" x14ac:dyDescent="0.25">
      <c r="A494">
        <v>27</v>
      </c>
      <c r="B494" s="1">
        <v>45515</v>
      </c>
      <c r="C494" t="s">
        <v>29</v>
      </c>
      <c r="D494">
        <v>3</v>
      </c>
      <c r="E494">
        <v>4</v>
      </c>
      <c r="F494" t="s">
        <v>41</v>
      </c>
      <c r="G494">
        <f t="shared" si="60"/>
        <v>8</v>
      </c>
      <c r="H494">
        <f t="shared" si="61"/>
        <v>5</v>
      </c>
      <c r="I494">
        <f t="shared" si="62"/>
        <v>13</v>
      </c>
      <c r="J494">
        <f t="shared" si="57"/>
        <v>0</v>
      </c>
      <c r="K494">
        <f t="shared" si="58"/>
        <v>1</v>
      </c>
      <c r="L494">
        <f t="shared" si="56"/>
        <v>-1</v>
      </c>
    </row>
    <row r="495" spans="1:12" x14ac:dyDescent="0.25">
      <c r="A495">
        <v>27</v>
      </c>
      <c r="B495" s="1">
        <v>45515</v>
      </c>
      <c r="C495" t="s">
        <v>29</v>
      </c>
      <c r="D495">
        <v>4</v>
      </c>
      <c r="E495">
        <v>5</v>
      </c>
      <c r="F495" t="s">
        <v>31</v>
      </c>
      <c r="G495">
        <f t="shared" si="60"/>
        <v>7</v>
      </c>
      <c r="H495">
        <f t="shared" si="61"/>
        <v>3</v>
      </c>
      <c r="I495">
        <f t="shared" si="62"/>
        <v>10</v>
      </c>
      <c r="J495">
        <f t="shared" si="57"/>
        <v>0</v>
      </c>
      <c r="K495">
        <f t="shared" si="58"/>
        <v>0</v>
      </c>
      <c r="L495">
        <f t="shared" si="56"/>
        <v>-1</v>
      </c>
    </row>
    <row r="496" spans="1:12" x14ac:dyDescent="0.25">
      <c r="A496">
        <v>27</v>
      </c>
      <c r="B496" s="1">
        <v>45515</v>
      </c>
      <c r="C496" t="s">
        <v>29</v>
      </c>
      <c r="D496">
        <v>5</v>
      </c>
      <c r="E496">
        <v>2</v>
      </c>
      <c r="F496" t="s">
        <v>45</v>
      </c>
      <c r="G496">
        <f t="shared" si="60"/>
        <v>6</v>
      </c>
      <c r="H496">
        <f t="shared" si="61"/>
        <v>1</v>
      </c>
      <c r="I496">
        <f t="shared" si="62"/>
        <v>7</v>
      </c>
      <c r="J496">
        <f t="shared" si="57"/>
        <v>0</v>
      </c>
      <c r="K496">
        <f t="shared" si="58"/>
        <v>0</v>
      </c>
      <c r="L496">
        <f t="shared" si="56"/>
        <v>3</v>
      </c>
    </row>
    <row r="497" spans="1:12" x14ac:dyDescent="0.25">
      <c r="A497">
        <v>27</v>
      </c>
      <c r="B497" s="1">
        <v>45515</v>
      </c>
      <c r="C497" t="s">
        <v>29</v>
      </c>
      <c r="D497">
        <v>6</v>
      </c>
      <c r="E497">
        <v>7</v>
      </c>
      <c r="F497" t="s">
        <v>30</v>
      </c>
      <c r="G497">
        <f t="shared" si="60"/>
        <v>5</v>
      </c>
      <c r="H497">
        <f t="shared" si="61"/>
        <v>0</v>
      </c>
      <c r="I497">
        <f t="shared" si="62"/>
        <v>5</v>
      </c>
      <c r="J497">
        <f t="shared" si="57"/>
        <v>0</v>
      </c>
      <c r="K497">
        <f t="shared" si="58"/>
        <v>0</v>
      </c>
      <c r="L497">
        <f t="shared" si="56"/>
        <v>-1</v>
      </c>
    </row>
    <row r="498" spans="1:12" x14ac:dyDescent="0.25">
      <c r="A498">
        <v>27</v>
      </c>
      <c r="B498" s="1">
        <v>45515</v>
      </c>
      <c r="C498" t="s">
        <v>29</v>
      </c>
      <c r="D498">
        <v>7</v>
      </c>
      <c r="E498">
        <v>9</v>
      </c>
      <c r="F498" t="s">
        <v>36</v>
      </c>
      <c r="G498">
        <f t="shared" si="60"/>
        <v>4</v>
      </c>
      <c r="H498">
        <f t="shared" si="61"/>
        <v>0</v>
      </c>
      <c r="I498">
        <f t="shared" si="62"/>
        <v>4</v>
      </c>
      <c r="J498">
        <f t="shared" si="57"/>
        <v>0</v>
      </c>
      <c r="K498">
        <f t="shared" si="58"/>
        <v>0</v>
      </c>
      <c r="L498">
        <f t="shared" si="56"/>
        <v>-2</v>
      </c>
    </row>
    <row r="499" spans="1:12" x14ac:dyDescent="0.25">
      <c r="A499">
        <v>27</v>
      </c>
      <c r="B499" s="1">
        <v>45515</v>
      </c>
      <c r="C499" t="s">
        <v>29</v>
      </c>
      <c r="D499">
        <v>8</v>
      </c>
      <c r="E499">
        <v>11</v>
      </c>
      <c r="F499" t="s">
        <v>39</v>
      </c>
      <c r="G499">
        <f t="shared" si="60"/>
        <v>3</v>
      </c>
      <c r="H499">
        <f t="shared" si="61"/>
        <v>0</v>
      </c>
      <c r="I499">
        <f t="shared" si="62"/>
        <v>3</v>
      </c>
      <c r="J499">
        <f t="shared" si="57"/>
        <v>0</v>
      </c>
      <c r="K499">
        <f t="shared" si="58"/>
        <v>0</v>
      </c>
      <c r="L499">
        <f t="shared" si="56"/>
        <v>-3</v>
      </c>
    </row>
    <row r="500" spans="1:12" x14ac:dyDescent="0.25">
      <c r="A500">
        <v>27</v>
      </c>
      <c r="B500" s="1">
        <v>45515</v>
      </c>
      <c r="C500" t="s">
        <v>29</v>
      </c>
      <c r="D500">
        <v>9</v>
      </c>
      <c r="E500">
        <v>6</v>
      </c>
      <c r="F500" t="s">
        <v>44</v>
      </c>
      <c r="G500">
        <f t="shared" si="60"/>
        <v>2</v>
      </c>
      <c r="H500">
        <f t="shared" si="61"/>
        <v>0</v>
      </c>
      <c r="I500">
        <f t="shared" si="62"/>
        <v>2</v>
      </c>
      <c r="J500">
        <f t="shared" si="57"/>
        <v>0</v>
      </c>
      <c r="K500">
        <f t="shared" si="58"/>
        <v>0</v>
      </c>
      <c r="L500">
        <f t="shared" si="56"/>
        <v>3</v>
      </c>
    </row>
    <row r="501" spans="1:12" x14ac:dyDescent="0.25">
      <c r="A501">
        <v>27</v>
      </c>
      <c r="B501" s="1">
        <v>45515</v>
      </c>
      <c r="C501" t="s">
        <v>29</v>
      </c>
      <c r="D501">
        <v>10</v>
      </c>
      <c r="E501">
        <v>8</v>
      </c>
      <c r="F501" t="s">
        <v>46</v>
      </c>
      <c r="G501">
        <f t="shared" si="60"/>
        <v>1</v>
      </c>
      <c r="H501">
        <f t="shared" si="61"/>
        <v>0</v>
      </c>
      <c r="I501">
        <f t="shared" si="62"/>
        <v>1</v>
      </c>
      <c r="J501">
        <f t="shared" si="57"/>
        <v>0</v>
      </c>
      <c r="K501">
        <f t="shared" si="58"/>
        <v>0</v>
      </c>
      <c r="L501">
        <f t="shared" si="56"/>
        <v>2</v>
      </c>
    </row>
    <row r="502" spans="1:12" x14ac:dyDescent="0.25">
      <c r="A502">
        <v>28</v>
      </c>
      <c r="B502" s="1">
        <v>45522</v>
      </c>
      <c r="C502" t="s">
        <v>4</v>
      </c>
      <c r="D502">
        <v>1</v>
      </c>
      <c r="E502">
        <v>1</v>
      </c>
      <c r="F502" t="s">
        <v>10</v>
      </c>
      <c r="G502">
        <f t="shared" si="60"/>
        <v>10</v>
      </c>
      <c r="H502">
        <f t="shared" si="61"/>
        <v>9</v>
      </c>
      <c r="I502">
        <f t="shared" si="62"/>
        <v>19</v>
      </c>
      <c r="J502">
        <f t="shared" si="57"/>
        <v>1</v>
      </c>
      <c r="K502">
        <f t="shared" si="58"/>
        <v>1</v>
      </c>
      <c r="L502">
        <f t="shared" si="56"/>
        <v>0</v>
      </c>
    </row>
    <row r="503" spans="1:12" x14ac:dyDescent="0.25">
      <c r="A503">
        <v>28</v>
      </c>
      <c r="B503" s="1">
        <v>45522</v>
      </c>
      <c r="C503" t="s">
        <v>4</v>
      </c>
      <c r="D503">
        <v>2</v>
      </c>
      <c r="E503">
        <v>2</v>
      </c>
      <c r="F503" t="s">
        <v>9</v>
      </c>
      <c r="G503">
        <f t="shared" si="60"/>
        <v>9</v>
      </c>
      <c r="H503">
        <f t="shared" si="61"/>
        <v>7</v>
      </c>
      <c r="I503">
        <f t="shared" si="62"/>
        <v>16</v>
      </c>
      <c r="J503">
        <f t="shared" si="57"/>
        <v>0</v>
      </c>
      <c r="K503">
        <f t="shared" si="58"/>
        <v>1</v>
      </c>
      <c r="L503">
        <f t="shared" si="56"/>
        <v>0</v>
      </c>
    </row>
    <row r="504" spans="1:12" x14ac:dyDescent="0.25">
      <c r="A504">
        <v>28</v>
      </c>
      <c r="B504" s="1">
        <v>45522</v>
      </c>
      <c r="C504" t="s">
        <v>4</v>
      </c>
      <c r="D504">
        <v>3</v>
      </c>
      <c r="E504">
        <v>4</v>
      </c>
      <c r="F504" t="s">
        <v>16</v>
      </c>
      <c r="G504">
        <f t="shared" si="60"/>
        <v>8</v>
      </c>
      <c r="H504">
        <f t="shared" si="61"/>
        <v>5</v>
      </c>
      <c r="I504">
        <f t="shared" si="62"/>
        <v>13</v>
      </c>
      <c r="J504">
        <f t="shared" si="57"/>
        <v>0</v>
      </c>
      <c r="K504">
        <f t="shared" si="58"/>
        <v>1</v>
      </c>
      <c r="L504">
        <f t="shared" si="56"/>
        <v>-1</v>
      </c>
    </row>
    <row r="505" spans="1:12" x14ac:dyDescent="0.25">
      <c r="A505">
        <v>28</v>
      </c>
      <c r="B505" s="1">
        <v>45522</v>
      </c>
      <c r="C505" t="s">
        <v>4</v>
      </c>
      <c r="D505">
        <v>4</v>
      </c>
      <c r="E505">
        <v>3</v>
      </c>
      <c r="F505" t="s">
        <v>19</v>
      </c>
      <c r="G505">
        <f t="shared" si="60"/>
        <v>7</v>
      </c>
      <c r="H505">
        <f t="shared" si="61"/>
        <v>3</v>
      </c>
      <c r="I505">
        <f t="shared" si="62"/>
        <v>10</v>
      </c>
      <c r="J505">
        <f t="shared" si="57"/>
        <v>0</v>
      </c>
      <c r="K505">
        <f t="shared" si="58"/>
        <v>0</v>
      </c>
      <c r="L505">
        <f t="shared" si="56"/>
        <v>1</v>
      </c>
    </row>
    <row r="506" spans="1:12" x14ac:dyDescent="0.25">
      <c r="A506">
        <v>28</v>
      </c>
      <c r="B506" s="1">
        <v>45522</v>
      </c>
      <c r="C506" t="s">
        <v>4</v>
      </c>
      <c r="D506">
        <v>5</v>
      </c>
      <c r="E506">
        <v>5</v>
      </c>
      <c r="F506" t="s">
        <v>13</v>
      </c>
      <c r="G506">
        <f t="shared" si="60"/>
        <v>6</v>
      </c>
      <c r="H506">
        <f t="shared" si="61"/>
        <v>1</v>
      </c>
      <c r="I506">
        <f t="shared" si="62"/>
        <v>7</v>
      </c>
      <c r="J506">
        <f t="shared" si="57"/>
        <v>0</v>
      </c>
      <c r="K506">
        <f t="shared" si="58"/>
        <v>0</v>
      </c>
      <c r="L506">
        <f t="shared" si="56"/>
        <v>0</v>
      </c>
    </row>
    <row r="507" spans="1:12" x14ac:dyDescent="0.25">
      <c r="A507">
        <v>28</v>
      </c>
      <c r="B507" s="1">
        <v>45522</v>
      </c>
      <c r="C507" t="s">
        <v>4</v>
      </c>
      <c r="D507">
        <v>6</v>
      </c>
      <c r="E507">
        <v>7</v>
      </c>
      <c r="F507" t="s">
        <v>20</v>
      </c>
      <c r="G507">
        <f t="shared" si="60"/>
        <v>5</v>
      </c>
      <c r="H507">
        <f t="shared" si="61"/>
        <v>0</v>
      </c>
      <c r="I507">
        <f t="shared" si="62"/>
        <v>5</v>
      </c>
      <c r="J507">
        <f t="shared" si="57"/>
        <v>0</v>
      </c>
      <c r="K507">
        <f t="shared" si="58"/>
        <v>0</v>
      </c>
      <c r="L507">
        <f t="shared" si="56"/>
        <v>-1</v>
      </c>
    </row>
    <row r="508" spans="1:12" x14ac:dyDescent="0.25">
      <c r="A508">
        <v>28</v>
      </c>
      <c r="B508" s="1">
        <v>45522</v>
      </c>
      <c r="C508" t="s">
        <v>4</v>
      </c>
      <c r="D508">
        <v>7</v>
      </c>
      <c r="E508">
        <v>8</v>
      </c>
      <c r="F508" t="s">
        <v>17</v>
      </c>
      <c r="G508">
        <f t="shared" si="60"/>
        <v>4</v>
      </c>
      <c r="H508">
        <f t="shared" si="61"/>
        <v>0</v>
      </c>
      <c r="I508">
        <f t="shared" si="62"/>
        <v>4</v>
      </c>
      <c r="J508">
        <f t="shared" si="57"/>
        <v>0</v>
      </c>
      <c r="K508">
        <f t="shared" si="58"/>
        <v>0</v>
      </c>
      <c r="L508">
        <f t="shared" si="56"/>
        <v>-1</v>
      </c>
    </row>
    <row r="509" spans="1:12" x14ac:dyDescent="0.25">
      <c r="A509">
        <v>28</v>
      </c>
      <c r="B509" s="1">
        <v>45522</v>
      </c>
      <c r="C509" t="s">
        <v>4</v>
      </c>
      <c r="D509">
        <v>8</v>
      </c>
      <c r="E509">
        <v>6</v>
      </c>
      <c r="F509" t="s">
        <v>21</v>
      </c>
      <c r="G509">
        <f t="shared" si="60"/>
        <v>3</v>
      </c>
      <c r="H509">
        <f t="shared" si="61"/>
        <v>0</v>
      </c>
      <c r="I509">
        <f t="shared" si="62"/>
        <v>3</v>
      </c>
      <c r="J509">
        <f t="shared" si="57"/>
        <v>0</v>
      </c>
      <c r="K509">
        <f t="shared" si="58"/>
        <v>0</v>
      </c>
      <c r="L509">
        <f t="shared" si="56"/>
        <v>2</v>
      </c>
    </row>
    <row r="510" spans="1:12" x14ac:dyDescent="0.25">
      <c r="A510">
        <v>28</v>
      </c>
      <c r="B510" s="1">
        <v>45522</v>
      </c>
      <c r="C510" t="s">
        <v>4</v>
      </c>
      <c r="D510">
        <v>9</v>
      </c>
      <c r="E510">
        <v>11</v>
      </c>
      <c r="F510" t="s">
        <v>11</v>
      </c>
      <c r="G510">
        <f t="shared" si="60"/>
        <v>2</v>
      </c>
      <c r="H510">
        <f t="shared" si="61"/>
        <v>0</v>
      </c>
      <c r="I510">
        <f t="shared" si="62"/>
        <v>2</v>
      </c>
      <c r="J510">
        <f t="shared" si="57"/>
        <v>0</v>
      </c>
      <c r="K510">
        <f t="shared" si="58"/>
        <v>0</v>
      </c>
      <c r="L510">
        <f t="shared" si="56"/>
        <v>-2</v>
      </c>
    </row>
    <row r="511" spans="1:12" x14ac:dyDescent="0.25">
      <c r="A511">
        <v>28</v>
      </c>
      <c r="B511" s="1">
        <v>45522</v>
      </c>
      <c r="C511" t="s">
        <v>4</v>
      </c>
      <c r="D511">
        <v>10</v>
      </c>
      <c r="E511">
        <v>9</v>
      </c>
      <c r="F511" t="s">
        <v>22</v>
      </c>
      <c r="G511">
        <f t="shared" si="60"/>
        <v>1</v>
      </c>
      <c r="H511">
        <f t="shared" si="61"/>
        <v>0</v>
      </c>
      <c r="I511">
        <f t="shared" si="62"/>
        <v>1</v>
      </c>
      <c r="J511">
        <f t="shared" si="57"/>
        <v>0</v>
      </c>
      <c r="K511">
        <f t="shared" si="58"/>
        <v>0</v>
      </c>
      <c r="L511">
        <f t="shared" si="56"/>
        <v>1</v>
      </c>
    </row>
    <row r="512" spans="1:12" x14ac:dyDescent="0.25">
      <c r="A512">
        <v>28</v>
      </c>
      <c r="B512" s="1">
        <v>45522</v>
      </c>
      <c r="C512" t="s">
        <v>29</v>
      </c>
      <c r="D512">
        <v>1</v>
      </c>
      <c r="E512">
        <v>1</v>
      </c>
      <c r="F512" t="s">
        <v>33</v>
      </c>
      <c r="G512">
        <f t="shared" si="60"/>
        <v>10</v>
      </c>
      <c r="H512">
        <f t="shared" si="61"/>
        <v>9</v>
      </c>
      <c r="I512">
        <f t="shared" si="62"/>
        <v>19</v>
      </c>
      <c r="J512">
        <f t="shared" si="57"/>
        <v>1</v>
      </c>
      <c r="K512">
        <f t="shared" si="58"/>
        <v>1</v>
      </c>
      <c r="L512">
        <f t="shared" si="56"/>
        <v>0</v>
      </c>
    </row>
    <row r="513" spans="1:12" x14ac:dyDescent="0.25">
      <c r="A513">
        <v>28</v>
      </c>
      <c r="B513" s="1">
        <v>45522</v>
      </c>
      <c r="C513" t="s">
        <v>29</v>
      </c>
      <c r="D513">
        <v>2</v>
      </c>
      <c r="E513">
        <v>2</v>
      </c>
      <c r="F513" t="s">
        <v>42</v>
      </c>
      <c r="G513">
        <f t="shared" si="60"/>
        <v>9</v>
      </c>
      <c r="H513">
        <f t="shared" si="61"/>
        <v>7</v>
      </c>
      <c r="I513">
        <f t="shared" si="62"/>
        <v>16</v>
      </c>
      <c r="J513">
        <f t="shared" si="57"/>
        <v>0</v>
      </c>
      <c r="K513">
        <f t="shared" si="58"/>
        <v>1</v>
      </c>
      <c r="L513">
        <f t="shared" si="56"/>
        <v>0</v>
      </c>
    </row>
    <row r="514" spans="1:12" x14ac:dyDescent="0.25">
      <c r="A514">
        <v>28</v>
      </c>
      <c r="B514" s="1">
        <v>45522</v>
      </c>
      <c r="C514" t="s">
        <v>29</v>
      </c>
      <c r="D514">
        <v>3</v>
      </c>
      <c r="E514">
        <v>4</v>
      </c>
      <c r="F514" t="s">
        <v>31</v>
      </c>
      <c r="G514">
        <f t="shared" si="60"/>
        <v>8</v>
      </c>
      <c r="H514">
        <f t="shared" si="61"/>
        <v>5</v>
      </c>
      <c r="I514">
        <f t="shared" si="62"/>
        <v>13</v>
      </c>
      <c r="J514">
        <f t="shared" si="57"/>
        <v>0</v>
      </c>
      <c r="K514">
        <f t="shared" si="58"/>
        <v>1</v>
      </c>
      <c r="L514">
        <f t="shared" si="56"/>
        <v>-1</v>
      </c>
    </row>
    <row r="515" spans="1:12" x14ac:dyDescent="0.25">
      <c r="A515">
        <v>28</v>
      </c>
      <c r="B515" s="1">
        <v>45522</v>
      </c>
      <c r="C515" t="s">
        <v>29</v>
      </c>
      <c r="D515">
        <v>4</v>
      </c>
      <c r="E515">
        <v>3</v>
      </c>
      <c r="F515" t="s">
        <v>41</v>
      </c>
      <c r="G515">
        <f t="shared" si="60"/>
        <v>7</v>
      </c>
      <c r="H515">
        <f t="shared" si="61"/>
        <v>3</v>
      </c>
      <c r="I515">
        <f t="shared" si="62"/>
        <v>10</v>
      </c>
      <c r="J515">
        <f t="shared" si="57"/>
        <v>0</v>
      </c>
      <c r="K515">
        <f t="shared" si="58"/>
        <v>0</v>
      </c>
      <c r="L515">
        <f t="shared" ref="L515:L578" si="63">D515-E515</f>
        <v>1</v>
      </c>
    </row>
    <row r="516" spans="1:12" x14ac:dyDescent="0.25">
      <c r="A516">
        <v>28</v>
      </c>
      <c r="B516" s="1">
        <v>45522</v>
      </c>
      <c r="C516" t="s">
        <v>29</v>
      </c>
      <c r="D516">
        <v>5</v>
      </c>
      <c r="E516">
        <v>7</v>
      </c>
      <c r="F516" t="s">
        <v>36</v>
      </c>
      <c r="G516">
        <f t="shared" si="60"/>
        <v>6</v>
      </c>
      <c r="H516">
        <f t="shared" si="61"/>
        <v>1</v>
      </c>
      <c r="I516">
        <f t="shared" si="62"/>
        <v>7</v>
      </c>
      <c r="J516">
        <f t="shared" si="57"/>
        <v>0</v>
      </c>
      <c r="K516">
        <f t="shared" si="58"/>
        <v>0</v>
      </c>
      <c r="L516">
        <f t="shared" si="63"/>
        <v>-2</v>
      </c>
    </row>
    <row r="517" spans="1:12" x14ac:dyDescent="0.25">
      <c r="A517">
        <v>28</v>
      </c>
      <c r="B517" s="1">
        <v>45522</v>
      </c>
      <c r="C517" t="s">
        <v>29</v>
      </c>
      <c r="D517">
        <v>6</v>
      </c>
      <c r="E517">
        <v>6</v>
      </c>
      <c r="F517" t="s">
        <v>30</v>
      </c>
      <c r="G517">
        <f t="shared" si="60"/>
        <v>5</v>
      </c>
      <c r="H517">
        <f t="shared" si="61"/>
        <v>0</v>
      </c>
      <c r="I517">
        <f t="shared" si="62"/>
        <v>5</v>
      </c>
      <c r="J517">
        <f t="shared" si="57"/>
        <v>0</v>
      </c>
      <c r="K517">
        <f t="shared" si="58"/>
        <v>0</v>
      </c>
      <c r="L517">
        <f t="shared" si="63"/>
        <v>0</v>
      </c>
    </row>
    <row r="518" spans="1:12" x14ac:dyDescent="0.25">
      <c r="A518">
        <v>28</v>
      </c>
      <c r="B518" s="1">
        <v>45522</v>
      </c>
      <c r="C518" t="s">
        <v>29</v>
      </c>
      <c r="D518">
        <v>7</v>
      </c>
      <c r="E518">
        <v>8</v>
      </c>
      <c r="F518" t="s">
        <v>39</v>
      </c>
      <c r="G518">
        <f t="shared" si="60"/>
        <v>4</v>
      </c>
      <c r="H518">
        <f t="shared" si="61"/>
        <v>0</v>
      </c>
      <c r="I518">
        <f t="shared" si="62"/>
        <v>4</v>
      </c>
      <c r="J518">
        <f t="shared" si="57"/>
        <v>0</v>
      </c>
      <c r="K518">
        <f t="shared" si="58"/>
        <v>0</v>
      </c>
      <c r="L518">
        <f t="shared" si="63"/>
        <v>-1</v>
      </c>
    </row>
    <row r="519" spans="1:12" x14ac:dyDescent="0.25">
      <c r="A519">
        <v>28</v>
      </c>
      <c r="B519" s="1">
        <v>45522</v>
      </c>
      <c r="C519" t="s">
        <v>29</v>
      </c>
      <c r="D519">
        <v>8</v>
      </c>
      <c r="E519">
        <v>5</v>
      </c>
      <c r="F519" t="s">
        <v>45</v>
      </c>
      <c r="G519">
        <f t="shared" si="60"/>
        <v>3</v>
      </c>
      <c r="H519">
        <f t="shared" si="61"/>
        <v>0</v>
      </c>
      <c r="I519">
        <f t="shared" si="62"/>
        <v>3</v>
      </c>
      <c r="J519">
        <f t="shared" si="57"/>
        <v>0</v>
      </c>
      <c r="K519">
        <f t="shared" si="58"/>
        <v>0</v>
      </c>
      <c r="L519">
        <f t="shared" si="63"/>
        <v>3</v>
      </c>
    </row>
    <row r="520" spans="1:12" x14ac:dyDescent="0.25">
      <c r="A520">
        <v>28</v>
      </c>
      <c r="B520" s="1">
        <v>45522</v>
      </c>
      <c r="C520" t="s">
        <v>29</v>
      </c>
      <c r="D520">
        <v>9</v>
      </c>
      <c r="E520">
        <v>11</v>
      </c>
      <c r="F520" t="s">
        <v>38</v>
      </c>
      <c r="G520">
        <f t="shared" si="60"/>
        <v>2</v>
      </c>
      <c r="H520">
        <f t="shared" si="61"/>
        <v>0</v>
      </c>
      <c r="I520">
        <f t="shared" si="62"/>
        <v>2</v>
      </c>
      <c r="J520">
        <f t="shared" si="57"/>
        <v>0</v>
      </c>
      <c r="K520">
        <f t="shared" si="58"/>
        <v>0</v>
      </c>
      <c r="L520">
        <f t="shared" si="63"/>
        <v>-2</v>
      </c>
    </row>
    <row r="521" spans="1:12" x14ac:dyDescent="0.25">
      <c r="A521">
        <v>28</v>
      </c>
      <c r="B521" s="1">
        <v>45522</v>
      </c>
      <c r="C521" t="s">
        <v>29</v>
      </c>
      <c r="D521">
        <v>10</v>
      </c>
      <c r="E521">
        <v>9</v>
      </c>
      <c r="F521" t="s">
        <v>44</v>
      </c>
      <c r="G521">
        <f t="shared" si="60"/>
        <v>1</v>
      </c>
      <c r="H521">
        <f t="shared" si="61"/>
        <v>0</v>
      </c>
      <c r="I521">
        <f t="shared" si="62"/>
        <v>1</v>
      </c>
      <c r="J521">
        <f t="shared" si="57"/>
        <v>0</v>
      </c>
      <c r="K521">
        <f t="shared" si="58"/>
        <v>0</v>
      </c>
      <c r="L521">
        <f t="shared" si="63"/>
        <v>1</v>
      </c>
    </row>
    <row r="522" spans="1:12" x14ac:dyDescent="0.25">
      <c r="A522">
        <v>29</v>
      </c>
      <c r="B522" s="1">
        <v>45529</v>
      </c>
      <c r="C522" t="s">
        <v>4</v>
      </c>
      <c r="D522">
        <v>1</v>
      </c>
      <c r="E522">
        <v>1</v>
      </c>
      <c r="F522" t="s">
        <v>10</v>
      </c>
      <c r="G522">
        <f t="shared" si="60"/>
        <v>10</v>
      </c>
      <c r="H522">
        <f t="shared" si="61"/>
        <v>9</v>
      </c>
      <c r="I522">
        <f t="shared" si="62"/>
        <v>19</v>
      </c>
      <c r="J522">
        <f t="shared" si="57"/>
        <v>1</v>
      </c>
      <c r="K522">
        <f t="shared" si="58"/>
        <v>1</v>
      </c>
      <c r="L522">
        <f t="shared" si="63"/>
        <v>0</v>
      </c>
    </row>
    <row r="523" spans="1:12" x14ac:dyDescent="0.25">
      <c r="A523">
        <v>29</v>
      </c>
      <c r="B523" s="1">
        <v>45529</v>
      </c>
      <c r="C523" t="s">
        <v>4</v>
      </c>
      <c r="D523">
        <v>2</v>
      </c>
      <c r="E523">
        <v>2</v>
      </c>
      <c r="F523" t="s">
        <v>9</v>
      </c>
      <c r="G523">
        <f t="shared" si="60"/>
        <v>9</v>
      </c>
      <c r="H523">
        <f t="shared" si="61"/>
        <v>7</v>
      </c>
      <c r="I523">
        <f t="shared" si="62"/>
        <v>16</v>
      </c>
      <c r="J523">
        <f t="shared" si="57"/>
        <v>0</v>
      </c>
      <c r="K523">
        <f t="shared" si="58"/>
        <v>1</v>
      </c>
      <c r="L523">
        <f t="shared" si="63"/>
        <v>0</v>
      </c>
    </row>
    <row r="524" spans="1:12" x14ac:dyDescent="0.25">
      <c r="A524">
        <v>29</v>
      </c>
      <c r="B524" s="1">
        <v>45529</v>
      </c>
      <c r="C524" t="s">
        <v>4</v>
      </c>
      <c r="D524">
        <v>3</v>
      </c>
      <c r="E524">
        <v>5</v>
      </c>
      <c r="F524" t="s">
        <v>13</v>
      </c>
      <c r="G524">
        <f t="shared" si="60"/>
        <v>8</v>
      </c>
      <c r="H524">
        <f t="shared" si="61"/>
        <v>5</v>
      </c>
      <c r="I524">
        <f t="shared" si="62"/>
        <v>13</v>
      </c>
      <c r="J524">
        <f t="shared" si="57"/>
        <v>0</v>
      </c>
      <c r="K524">
        <f t="shared" si="58"/>
        <v>1</v>
      </c>
      <c r="L524">
        <f t="shared" si="63"/>
        <v>-2</v>
      </c>
    </row>
    <row r="525" spans="1:12" x14ac:dyDescent="0.25">
      <c r="A525">
        <v>29</v>
      </c>
      <c r="B525" s="1">
        <v>45529</v>
      </c>
      <c r="C525" t="s">
        <v>4</v>
      </c>
      <c r="D525">
        <v>4</v>
      </c>
      <c r="E525">
        <v>3</v>
      </c>
      <c r="F525" t="s">
        <v>16</v>
      </c>
      <c r="G525">
        <f t="shared" si="60"/>
        <v>7</v>
      </c>
      <c r="H525">
        <f t="shared" si="61"/>
        <v>3</v>
      </c>
      <c r="I525">
        <f t="shared" si="62"/>
        <v>10</v>
      </c>
      <c r="J525">
        <f t="shared" ref="J525:J588" si="64">COUNTIF(D525,"=1")</f>
        <v>0</v>
      </c>
      <c r="K525">
        <f t="shared" ref="K525:K588" si="65">COUNTIF(D525,"&lt;4")</f>
        <v>0</v>
      </c>
      <c r="L525">
        <f t="shared" si="63"/>
        <v>1</v>
      </c>
    </row>
    <row r="526" spans="1:12" x14ac:dyDescent="0.25">
      <c r="A526">
        <v>29</v>
      </c>
      <c r="B526" s="1">
        <v>45529</v>
      </c>
      <c r="C526" t="s">
        <v>4</v>
      </c>
      <c r="D526">
        <v>5</v>
      </c>
      <c r="E526">
        <v>4</v>
      </c>
      <c r="F526" t="s">
        <v>19</v>
      </c>
      <c r="G526">
        <f t="shared" si="60"/>
        <v>6</v>
      </c>
      <c r="H526">
        <f t="shared" si="61"/>
        <v>1</v>
      </c>
      <c r="I526">
        <f t="shared" si="62"/>
        <v>7</v>
      </c>
      <c r="J526">
        <f t="shared" si="64"/>
        <v>0</v>
      </c>
      <c r="K526">
        <f t="shared" si="65"/>
        <v>0</v>
      </c>
      <c r="L526">
        <f t="shared" si="63"/>
        <v>1</v>
      </c>
    </row>
    <row r="527" spans="1:12" x14ac:dyDescent="0.25">
      <c r="A527">
        <v>29</v>
      </c>
      <c r="B527" s="1">
        <v>45529</v>
      </c>
      <c r="C527" t="s">
        <v>4</v>
      </c>
      <c r="D527">
        <v>6</v>
      </c>
      <c r="E527">
        <v>7</v>
      </c>
      <c r="F527" t="s">
        <v>17</v>
      </c>
      <c r="G527">
        <f t="shared" si="60"/>
        <v>5</v>
      </c>
      <c r="H527">
        <f t="shared" si="61"/>
        <v>0</v>
      </c>
      <c r="I527">
        <f t="shared" si="62"/>
        <v>5</v>
      </c>
      <c r="J527">
        <f t="shared" si="64"/>
        <v>0</v>
      </c>
      <c r="K527">
        <f t="shared" si="65"/>
        <v>0</v>
      </c>
      <c r="L527">
        <f t="shared" si="63"/>
        <v>-1</v>
      </c>
    </row>
    <row r="528" spans="1:12" x14ac:dyDescent="0.25">
      <c r="A528">
        <v>29</v>
      </c>
      <c r="B528" s="1">
        <v>45529</v>
      </c>
      <c r="C528" t="s">
        <v>4</v>
      </c>
      <c r="D528">
        <v>7</v>
      </c>
      <c r="E528">
        <v>9</v>
      </c>
      <c r="F528" t="s">
        <v>11</v>
      </c>
      <c r="G528">
        <f t="shared" si="60"/>
        <v>4</v>
      </c>
      <c r="H528">
        <f t="shared" si="61"/>
        <v>0</v>
      </c>
      <c r="I528">
        <f t="shared" si="62"/>
        <v>4</v>
      </c>
      <c r="J528">
        <f t="shared" si="64"/>
        <v>0</v>
      </c>
      <c r="K528">
        <f t="shared" si="65"/>
        <v>0</v>
      </c>
      <c r="L528">
        <f t="shared" si="63"/>
        <v>-2</v>
      </c>
    </row>
    <row r="529" spans="1:12" x14ac:dyDescent="0.25">
      <c r="A529">
        <v>29</v>
      </c>
      <c r="B529" s="1">
        <v>45529</v>
      </c>
      <c r="C529" t="s">
        <v>4</v>
      </c>
      <c r="D529">
        <v>8</v>
      </c>
      <c r="E529">
        <v>6</v>
      </c>
      <c r="F529" t="s">
        <v>20</v>
      </c>
      <c r="G529">
        <f t="shared" si="60"/>
        <v>3</v>
      </c>
      <c r="H529">
        <f t="shared" si="61"/>
        <v>0</v>
      </c>
      <c r="I529">
        <f t="shared" si="62"/>
        <v>3</v>
      </c>
      <c r="J529">
        <f t="shared" si="64"/>
        <v>0</v>
      </c>
      <c r="K529">
        <f t="shared" si="65"/>
        <v>0</v>
      </c>
      <c r="L529">
        <f t="shared" si="63"/>
        <v>2</v>
      </c>
    </row>
    <row r="530" spans="1:12" x14ac:dyDescent="0.25">
      <c r="A530">
        <v>29</v>
      </c>
      <c r="B530" s="1">
        <v>45529</v>
      </c>
      <c r="C530" t="s">
        <v>4</v>
      </c>
      <c r="D530">
        <v>9</v>
      </c>
      <c r="E530">
        <v>11</v>
      </c>
      <c r="F530" t="s">
        <v>15</v>
      </c>
      <c r="G530">
        <f t="shared" si="60"/>
        <v>2</v>
      </c>
      <c r="H530">
        <f t="shared" si="61"/>
        <v>0</v>
      </c>
      <c r="I530">
        <f t="shared" si="62"/>
        <v>2</v>
      </c>
      <c r="J530">
        <f t="shared" si="64"/>
        <v>0</v>
      </c>
      <c r="K530">
        <f t="shared" si="65"/>
        <v>0</v>
      </c>
      <c r="L530">
        <f t="shared" si="63"/>
        <v>-2</v>
      </c>
    </row>
    <row r="531" spans="1:12" x14ac:dyDescent="0.25">
      <c r="A531">
        <v>29</v>
      </c>
      <c r="B531" s="1">
        <v>45529</v>
      </c>
      <c r="C531" t="s">
        <v>4</v>
      </c>
      <c r="D531">
        <v>10</v>
      </c>
      <c r="E531">
        <v>8</v>
      </c>
      <c r="F531" t="s">
        <v>21</v>
      </c>
      <c r="G531">
        <f t="shared" si="60"/>
        <v>1</v>
      </c>
      <c r="H531">
        <f t="shared" si="61"/>
        <v>0</v>
      </c>
      <c r="I531">
        <f t="shared" si="62"/>
        <v>1</v>
      </c>
      <c r="J531">
        <f t="shared" si="64"/>
        <v>0</v>
      </c>
      <c r="K531">
        <f t="shared" si="65"/>
        <v>0</v>
      </c>
      <c r="L531">
        <f t="shared" si="63"/>
        <v>2</v>
      </c>
    </row>
    <row r="532" spans="1:12" x14ac:dyDescent="0.25">
      <c r="A532">
        <v>29</v>
      </c>
      <c r="B532" s="1">
        <v>45529</v>
      </c>
      <c r="C532" t="s">
        <v>29</v>
      </c>
      <c r="D532">
        <v>1</v>
      </c>
      <c r="E532">
        <v>1</v>
      </c>
      <c r="F532" t="s">
        <v>33</v>
      </c>
      <c r="G532">
        <f t="shared" si="60"/>
        <v>10</v>
      </c>
      <c r="H532">
        <f t="shared" si="61"/>
        <v>9</v>
      </c>
      <c r="I532">
        <f t="shared" si="62"/>
        <v>19</v>
      </c>
      <c r="J532">
        <f t="shared" si="64"/>
        <v>1</v>
      </c>
      <c r="K532">
        <f t="shared" si="65"/>
        <v>1</v>
      </c>
      <c r="L532">
        <f t="shared" si="63"/>
        <v>0</v>
      </c>
    </row>
    <row r="533" spans="1:12" x14ac:dyDescent="0.25">
      <c r="A533">
        <v>29</v>
      </c>
      <c r="B533" s="1">
        <v>45529</v>
      </c>
      <c r="C533" t="s">
        <v>29</v>
      </c>
      <c r="D533">
        <v>2</v>
      </c>
      <c r="E533">
        <v>3</v>
      </c>
      <c r="F533" t="s">
        <v>31</v>
      </c>
      <c r="G533">
        <f t="shared" si="60"/>
        <v>9</v>
      </c>
      <c r="H533">
        <f t="shared" si="61"/>
        <v>7</v>
      </c>
      <c r="I533">
        <f t="shared" si="62"/>
        <v>16</v>
      </c>
      <c r="J533">
        <f t="shared" si="64"/>
        <v>0</v>
      </c>
      <c r="K533">
        <f t="shared" si="65"/>
        <v>1</v>
      </c>
      <c r="L533">
        <f t="shared" si="63"/>
        <v>-1</v>
      </c>
    </row>
    <row r="534" spans="1:12" x14ac:dyDescent="0.25">
      <c r="A534">
        <v>29</v>
      </c>
      <c r="B534" s="1">
        <v>45529</v>
      </c>
      <c r="C534" t="s">
        <v>29</v>
      </c>
      <c r="D534">
        <v>3</v>
      </c>
      <c r="E534">
        <v>5</v>
      </c>
      <c r="F534" t="s">
        <v>36</v>
      </c>
      <c r="G534">
        <f t="shared" si="60"/>
        <v>8</v>
      </c>
      <c r="H534">
        <f t="shared" si="61"/>
        <v>5</v>
      </c>
      <c r="I534">
        <f t="shared" si="62"/>
        <v>13</v>
      </c>
      <c r="J534">
        <f t="shared" si="64"/>
        <v>0</v>
      </c>
      <c r="K534">
        <f t="shared" si="65"/>
        <v>1</v>
      </c>
      <c r="L534">
        <f t="shared" si="63"/>
        <v>-2</v>
      </c>
    </row>
    <row r="535" spans="1:12" x14ac:dyDescent="0.25">
      <c r="A535">
        <v>29</v>
      </c>
      <c r="B535" s="1">
        <v>45529</v>
      </c>
      <c r="C535" t="s">
        <v>29</v>
      </c>
      <c r="D535">
        <v>4</v>
      </c>
      <c r="E535">
        <v>4</v>
      </c>
      <c r="F535" t="s">
        <v>41</v>
      </c>
      <c r="G535">
        <f t="shared" si="60"/>
        <v>7</v>
      </c>
      <c r="H535">
        <f t="shared" si="61"/>
        <v>3</v>
      </c>
      <c r="I535">
        <f t="shared" si="62"/>
        <v>10</v>
      </c>
      <c r="J535">
        <f t="shared" si="64"/>
        <v>0</v>
      </c>
      <c r="K535">
        <f t="shared" si="65"/>
        <v>0</v>
      </c>
      <c r="L535">
        <f t="shared" si="63"/>
        <v>0</v>
      </c>
    </row>
    <row r="536" spans="1:12" x14ac:dyDescent="0.25">
      <c r="A536">
        <v>29</v>
      </c>
      <c r="B536" s="1">
        <v>45529</v>
      </c>
      <c r="C536" t="s">
        <v>29</v>
      </c>
      <c r="D536">
        <v>5</v>
      </c>
      <c r="E536">
        <v>2</v>
      </c>
      <c r="F536" t="s">
        <v>42</v>
      </c>
      <c r="G536">
        <f t="shared" si="60"/>
        <v>6</v>
      </c>
      <c r="H536">
        <f t="shared" si="61"/>
        <v>1</v>
      </c>
      <c r="I536">
        <f t="shared" si="62"/>
        <v>7</v>
      </c>
      <c r="J536">
        <f t="shared" si="64"/>
        <v>0</v>
      </c>
      <c r="K536">
        <f t="shared" si="65"/>
        <v>0</v>
      </c>
      <c r="L536">
        <f t="shared" si="63"/>
        <v>3</v>
      </c>
    </row>
    <row r="537" spans="1:12" x14ac:dyDescent="0.25">
      <c r="A537">
        <v>29</v>
      </c>
      <c r="B537" s="1">
        <v>45529</v>
      </c>
      <c r="C537" t="s">
        <v>29</v>
      </c>
      <c r="D537">
        <v>6</v>
      </c>
      <c r="E537">
        <v>6</v>
      </c>
      <c r="F537" t="s">
        <v>30</v>
      </c>
      <c r="G537">
        <f t="shared" si="60"/>
        <v>5</v>
      </c>
      <c r="H537">
        <f t="shared" si="61"/>
        <v>0</v>
      </c>
      <c r="I537">
        <f t="shared" si="62"/>
        <v>5</v>
      </c>
      <c r="J537">
        <f t="shared" si="64"/>
        <v>0</v>
      </c>
      <c r="K537">
        <f t="shared" si="65"/>
        <v>0</v>
      </c>
      <c r="L537">
        <f t="shared" si="63"/>
        <v>0</v>
      </c>
    </row>
    <row r="538" spans="1:12" x14ac:dyDescent="0.25">
      <c r="A538">
        <v>29</v>
      </c>
      <c r="B538" s="1">
        <v>45529</v>
      </c>
      <c r="C538" t="s">
        <v>29</v>
      </c>
      <c r="D538">
        <v>7</v>
      </c>
      <c r="E538">
        <v>7</v>
      </c>
      <c r="F538" t="s">
        <v>39</v>
      </c>
      <c r="G538">
        <f t="shared" si="60"/>
        <v>4</v>
      </c>
      <c r="H538">
        <f t="shared" si="61"/>
        <v>0</v>
      </c>
      <c r="I538">
        <f t="shared" si="62"/>
        <v>4</v>
      </c>
      <c r="J538">
        <f t="shared" si="64"/>
        <v>0</v>
      </c>
      <c r="K538">
        <f t="shared" si="65"/>
        <v>0</v>
      </c>
      <c r="L538">
        <f t="shared" si="63"/>
        <v>0</v>
      </c>
    </row>
    <row r="539" spans="1:12" x14ac:dyDescent="0.25">
      <c r="A539">
        <v>29</v>
      </c>
      <c r="B539" s="1">
        <v>45529</v>
      </c>
      <c r="C539" t="s">
        <v>29</v>
      </c>
      <c r="D539">
        <v>8</v>
      </c>
      <c r="E539">
        <v>9</v>
      </c>
      <c r="F539" t="s">
        <v>38</v>
      </c>
      <c r="G539">
        <f t="shared" si="60"/>
        <v>3</v>
      </c>
      <c r="H539">
        <f t="shared" si="61"/>
        <v>0</v>
      </c>
      <c r="I539">
        <f t="shared" si="62"/>
        <v>3</v>
      </c>
      <c r="J539">
        <f t="shared" si="64"/>
        <v>0</v>
      </c>
      <c r="K539">
        <f t="shared" si="65"/>
        <v>0</v>
      </c>
      <c r="L539">
        <f t="shared" si="63"/>
        <v>-1</v>
      </c>
    </row>
    <row r="540" spans="1:12" x14ac:dyDescent="0.25">
      <c r="A540">
        <v>29</v>
      </c>
      <c r="B540" s="1">
        <v>45529</v>
      </c>
      <c r="C540" t="s">
        <v>29</v>
      </c>
      <c r="D540">
        <v>9</v>
      </c>
      <c r="E540">
        <v>11</v>
      </c>
      <c r="F540" t="s">
        <v>40</v>
      </c>
      <c r="G540">
        <f t="shared" si="60"/>
        <v>2</v>
      </c>
      <c r="H540">
        <f t="shared" si="61"/>
        <v>0</v>
      </c>
      <c r="I540">
        <f t="shared" si="62"/>
        <v>2</v>
      </c>
      <c r="J540">
        <f t="shared" si="64"/>
        <v>0</v>
      </c>
      <c r="K540">
        <f t="shared" si="65"/>
        <v>0</v>
      </c>
      <c r="L540">
        <f t="shared" si="63"/>
        <v>-2</v>
      </c>
    </row>
    <row r="541" spans="1:12" x14ac:dyDescent="0.25">
      <c r="A541">
        <v>29</v>
      </c>
      <c r="B541" s="1">
        <v>45529</v>
      </c>
      <c r="C541" t="s">
        <v>29</v>
      </c>
      <c r="D541">
        <v>10</v>
      </c>
      <c r="E541">
        <v>11</v>
      </c>
      <c r="F541" t="s">
        <v>43</v>
      </c>
      <c r="G541">
        <f t="shared" si="60"/>
        <v>1</v>
      </c>
      <c r="H541">
        <f t="shared" si="61"/>
        <v>0</v>
      </c>
      <c r="I541">
        <f t="shared" si="62"/>
        <v>1</v>
      </c>
      <c r="J541">
        <f t="shared" si="64"/>
        <v>0</v>
      </c>
      <c r="K541">
        <f t="shared" si="65"/>
        <v>0</v>
      </c>
      <c r="L541">
        <f t="shared" si="63"/>
        <v>-1</v>
      </c>
    </row>
    <row r="542" spans="1:12" x14ac:dyDescent="0.25">
      <c r="A542">
        <v>30</v>
      </c>
      <c r="B542" s="1">
        <v>45536</v>
      </c>
      <c r="C542" t="s">
        <v>4</v>
      </c>
      <c r="D542">
        <v>1</v>
      </c>
      <c r="E542">
        <v>1</v>
      </c>
      <c r="F542" t="s">
        <v>10</v>
      </c>
      <c r="G542">
        <f t="shared" ref="G542:G605" si="66">11-D542</f>
        <v>10</v>
      </c>
      <c r="H542">
        <f t="shared" ref="H542:H605" si="67">IF(D542&lt;6,11-2*D542,0)</f>
        <v>9</v>
      </c>
      <c r="I542">
        <f t="shared" ref="I542:I605" si="68">G542+H542</f>
        <v>19</v>
      </c>
      <c r="J542">
        <f t="shared" si="64"/>
        <v>1</v>
      </c>
      <c r="K542">
        <f t="shared" si="65"/>
        <v>1</v>
      </c>
      <c r="L542">
        <f t="shared" si="63"/>
        <v>0</v>
      </c>
    </row>
    <row r="543" spans="1:12" x14ac:dyDescent="0.25">
      <c r="A543">
        <v>30</v>
      </c>
      <c r="B543" s="1">
        <v>45536</v>
      </c>
      <c r="C543" t="s">
        <v>4</v>
      </c>
      <c r="D543">
        <v>2</v>
      </c>
      <c r="E543">
        <v>2</v>
      </c>
      <c r="F543" t="s">
        <v>9</v>
      </c>
      <c r="G543">
        <f t="shared" si="66"/>
        <v>9</v>
      </c>
      <c r="H543">
        <f t="shared" si="67"/>
        <v>7</v>
      </c>
      <c r="I543">
        <f t="shared" si="68"/>
        <v>16</v>
      </c>
      <c r="J543">
        <f t="shared" si="64"/>
        <v>0</v>
      </c>
      <c r="K543">
        <f t="shared" si="65"/>
        <v>1</v>
      </c>
      <c r="L543">
        <f t="shared" si="63"/>
        <v>0</v>
      </c>
    </row>
    <row r="544" spans="1:12" x14ac:dyDescent="0.25">
      <c r="A544">
        <v>30</v>
      </c>
      <c r="B544" s="1">
        <v>45536</v>
      </c>
      <c r="C544" t="s">
        <v>4</v>
      </c>
      <c r="D544">
        <v>3</v>
      </c>
      <c r="E544">
        <v>3</v>
      </c>
      <c r="F544" t="s">
        <v>13</v>
      </c>
      <c r="G544">
        <f t="shared" si="66"/>
        <v>8</v>
      </c>
      <c r="H544">
        <f t="shared" si="67"/>
        <v>5</v>
      </c>
      <c r="I544">
        <f t="shared" si="68"/>
        <v>13</v>
      </c>
      <c r="J544">
        <f t="shared" si="64"/>
        <v>0</v>
      </c>
      <c r="K544">
        <f t="shared" si="65"/>
        <v>1</v>
      </c>
      <c r="L544">
        <f t="shared" si="63"/>
        <v>0</v>
      </c>
    </row>
    <row r="545" spans="1:12" x14ac:dyDescent="0.25">
      <c r="A545">
        <v>30</v>
      </c>
      <c r="B545" s="1">
        <v>45536</v>
      </c>
      <c r="C545" t="s">
        <v>4</v>
      </c>
      <c r="D545">
        <v>4</v>
      </c>
      <c r="E545">
        <v>4</v>
      </c>
      <c r="F545" t="s">
        <v>16</v>
      </c>
      <c r="G545">
        <f t="shared" si="66"/>
        <v>7</v>
      </c>
      <c r="H545">
        <f t="shared" si="67"/>
        <v>3</v>
      </c>
      <c r="I545">
        <f t="shared" si="68"/>
        <v>10</v>
      </c>
      <c r="J545">
        <f t="shared" si="64"/>
        <v>0</v>
      </c>
      <c r="K545">
        <f t="shared" si="65"/>
        <v>0</v>
      </c>
      <c r="L545">
        <f t="shared" si="63"/>
        <v>0</v>
      </c>
    </row>
    <row r="546" spans="1:12" x14ac:dyDescent="0.25">
      <c r="A546">
        <v>30</v>
      </c>
      <c r="B546" s="1">
        <v>45536</v>
      </c>
      <c r="C546" t="s">
        <v>4</v>
      </c>
      <c r="D546">
        <v>5</v>
      </c>
      <c r="E546">
        <v>6</v>
      </c>
      <c r="F546" t="s">
        <v>17</v>
      </c>
      <c r="G546">
        <f t="shared" si="66"/>
        <v>6</v>
      </c>
      <c r="H546">
        <f t="shared" si="67"/>
        <v>1</v>
      </c>
      <c r="I546">
        <f t="shared" si="68"/>
        <v>7</v>
      </c>
      <c r="J546">
        <f t="shared" si="64"/>
        <v>0</v>
      </c>
      <c r="K546">
        <f t="shared" si="65"/>
        <v>0</v>
      </c>
      <c r="L546">
        <f t="shared" si="63"/>
        <v>-1</v>
      </c>
    </row>
    <row r="547" spans="1:12" x14ac:dyDescent="0.25">
      <c r="A547">
        <v>30</v>
      </c>
      <c r="B547" s="1">
        <v>45536</v>
      </c>
      <c r="C547" t="s">
        <v>4</v>
      </c>
      <c r="D547">
        <v>6</v>
      </c>
      <c r="E547">
        <v>11</v>
      </c>
      <c r="F547" t="s">
        <v>14</v>
      </c>
      <c r="G547">
        <f t="shared" si="66"/>
        <v>5</v>
      </c>
      <c r="H547">
        <f t="shared" si="67"/>
        <v>0</v>
      </c>
      <c r="I547">
        <f t="shared" si="68"/>
        <v>5</v>
      </c>
      <c r="J547">
        <f t="shared" si="64"/>
        <v>0</v>
      </c>
      <c r="K547">
        <f t="shared" si="65"/>
        <v>0</v>
      </c>
      <c r="L547">
        <f t="shared" si="63"/>
        <v>-5</v>
      </c>
    </row>
    <row r="548" spans="1:12" x14ac:dyDescent="0.25">
      <c r="A548">
        <v>30</v>
      </c>
      <c r="B548" s="1">
        <v>45536</v>
      </c>
      <c r="C548" t="s">
        <v>4</v>
      </c>
      <c r="D548">
        <v>7</v>
      </c>
      <c r="E548">
        <v>7</v>
      </c>
      <c r="F548" t="s">
        <v>11</v>
      </c>
      <c r="G548">
        <f t="shared" si="66"/>
        <v>4</v>
      </c>
      <c r="H548">
        <f t="shared" si="67"/>
        <v>0</v>
      </c>
      <c r="I548">
        <f t="shared" si="68"/>
        <v>4</v>
      </c>
      <c r="J548">
        <f t="shared" si="64"/>
        <v>0</v>
      </c>
      <c r="K548">
        <f t="shared" si="65"/>
        <v>0</v>
      </c>
      <c r="L548">
        <f t="shared" si="63"/>
        <v>0</v>
      </c>
    </row>
    <row r="549" spans="1:12" x14ac:dyDescent="0.25">
      <c r="A549">
        <v>30</v>
      </c>
      <c r="B549" s="1">
        <v>45536</v>
      </c>
      <c r="C549" t="s">
        <v>4</v>
      </c>
      <c r="D549">
        <v>8</v>
      </c>
      <c r="E549">
        <v>5</v>
      </c>
      <c r="F549" t="s">
        <v>19</v>
      </c>
      <c r="G549">
        <f t="shared" si="66"/>
        <v>3</v>
      </c>
      <c r="H549">
        <f t="shared" si="67"/>
        <v>0</v>
      </c>
      <c r="I549">
        <f t="shared" si="68"/>
        <v>3</v>
      </c>
      <c r="J549">
        <f t="shared" si="64"/>
        <v>0</v>
      </c>
      <c r="K549">
        <f t="shared" si="65"/>
        <v>0</v>
      </c>
      <c r="L549">
        <f t="shared" si="63"/>
        <v>3</v>
      </c>
    </row>
    <row r="550" spans="1:12" x14ac:dyDescent="0.25">
      <c r="A550">
        <v>30</v>
      </c>
      <c r="B550" s="1">
        <v>45536</v>
      </c>
      <c r="C550" t="s">
        <v>4</v>
      </c>
      <c r="D550">
        <v>9</v>
      </c>
      <c r="E550">
        <v>9</v>
      </c>
      <c r="F550" t="s">
        <v>15</v>
      </c>
      <c r="G550">
        <f t="shared" si="66"/>
        <v>2</v>
      </c>
      <c r="H550">
        <f t="shared" si="67"/>
        <v>0</v>
      </c>
      <c r="I550">
        <f t="shared" si="68"/>
        <v>2</v>
      </c>
      <c r="J550">
        <f t="shared" si="64"/>
        <v>0</v>
      </c>
      <c r="K550">
        <f t="shared" si="65"/>
        <v>0</v>
      </c>
      <c r="L550">
        <f t="shared" si="63"/>
        <v>0</v>
      </c>
    </row>
    <row r="551" spans="1:12" x14ac:dyDescent="0.25">
      <c r="A551">
        <v>30</v>
      </c>
      <c r="B551" s="1">
        <v>45536</v>
      </c>
      <c r="C551" t="s">
        <v>4</v>
      </c>
      <c r="D551">
        <v>10</v>
      </c>
      <c r="E551">
        <v>8</v>
      </c>
      <c r="F551" t="s">
        <v>20</v>
      </c>
      <c r="G551">
        <f t="shared" si="66"/>
        <v>1</v>
      </c>
      <c r="H551">
        <f t="shared" si="67"/>
        <v>0</v>
      </c>
      <c r="I551">
        <f t="shared" si="68"/>
        <v>1</v>
      </c>
      <c r="J551">
        <f t="shared" si="64"/>
        <v>0</v>
      </c>
      <c r="K551">
        <f t="shared" si="65"/>
        <v>0</v>
      </c>
      <c r="L551">
        <f t="shared" si="63"/>
        <v>2</v>
      </c>
    </row>
    <row r="552" spans="1:12" x14ac:dyDescent="0.25">
      <c r="A552">
        <v>30</v>
      </c>
      <c r="B552" s="1">
        <v>45536</v>
      </c>
      <c r="C552" t="s">
        <v>29</v>
      </c>
      <c r="D552">
        <v>1</v>
      </c>
      <c r="E552">
        <v>2</v>
      </c>
      <c r="F552" t="s">
        <v>31</v>
      </c>
      <c r="G552">
        <f t="shared" si="66"/>
        <v>10</v>
      </c>
      <c r="H552">
        <f t="shared" si="67"/>
        <v>9</v>
      </c>
      <c r="I552">
        <f t="shared" si="68"/>
        <v>19</v>
      </c>
      <c r="J552">
        <f t="shared" si="64"/>
        <v>1</v>
      </c>
      <c r="K552">
        <f t="shared" si="65"/>
        <v>1</v>
      </c>
      <c r="L552">
        <f t="shared" si="63"/>
        <v>-1</v>
      </c>
    </row>
    <row r="553" spans="1:12" x14ac:dyDescent="0.25">
      <c r="A553">
        <v>30</v>
      </c>
      <c r="B553" s="1">
        <v>45536</v>
      </c>
      <c r="C553" t="s">
        <v>29</v>
      </c>
      <c r="D553">
        <v>2</v>
      </c>
      <c r="E553">
        <v>1</v>
      </c>
      <c r="F553" t="s">
        <v>33</v>
      </c>
      <c r="G553">
        <f t="shared" si="66"/>
        <v>9</v>
      </c>
      <c r="H553">
        <f t="shared" si="67"/>
        <v>7</v>
      </c>
      <c r="I553">
        <f t="shared" si="68"/>
        <v>16</v>
      </c>
      <c r="J553">
        <f t="shared" si="64"/>
        <v>0</v>
      </c>
      <c r="K553">
        <f t="shared" si="65"/>
        <v>1</v>
      </c>
      <c r="L553">
        <f t="shared" si="63"/>
        <v>1</v>
      </c>
    </row>
    <row r="554" spans="1:12" x14ac:dyDescent="0.25">
      <c r="A554">
        <v>30</v>
      </c>
      <c r="B554" s="1">
        <v>45536</v>
      </c>
      <c r="C554" t="s">
        <v>29</v>
      </c>
      <c r="D554">
        <v>3</v>
      </c>
      <c r="E554">
        <v>3</v>
      </c>
      <c r="F554" t="s">
        <v>36</v>
      </c>
      <c r="G554">
        <f t="shared" si="66"/>
        <v>8</v>
      </c>
      <c r="H554">
        <f t="shared" si="67"/>
        <v>5</v>
      </c>
      <c r="I554">
        <f t="shared" si="68"/>
        <v>13</v>
      </c>
      <c r="J554">
        <f t="shared" si="64"/>
        <v>0</v>
      </c>
      <c r="K554">
        <f t="shared" si="65"/>
        <v>1</v>
      </c>
      <c r="L554">
        <f t="shared" si="63"/>
        <v>0</v>
      </c>
    </row>
    <row r="555" spans="1:12" x14ac:dyDescent="0.25">
      <c r="A555">
        <v>30</v>
      </c>
      <c r="B555" s="1">
        <v>45536</v>
      </c>
      <c r="C555" t="s">
        <v>29</v>
      </c>
      <c r="D555">
        <v>4</v>
      </c>
      <c r="E555">
        <v>6</v>
      </c>
      <c r="F555" t="s">
        <v>30</v>
      </c>
      <c r="G555">
        <f t="shared" si="66"/>
        <v>7</v>
      </c>
      <c r="H555">
        <f t="shared" si="67"/>
        <v>3</v>
      </c>
      <c r="I555">
        <f t="shared" si="68"/>
        <v>10</v>
      </c>
      <c r="J555">
        <f t="shared" si="64"/>
        <v>0</v>
      </c>
      <c r="K555">
        <f t="shared" si="65"/>
        <v>0</v>
      </c>
      <c r="L555">
        <f t="shared" si="63"/>
        <v>-2</v>
      </c>
    </row>
    <row r="556" spans="1:12" x14ac:dyDescent="0.25">
      <c r="A556">
        <v>30</v>
      </c>
      <c r="B556" s="1">
        <v>45536</v>
      </c>
      <c r="C556" t="s">
        <v>29</v>
      </c>
      <c r="D556">
        <v>5</v>
      </c>
      <c r="E556">
        <v>9</v>
      </c>
      <c r="F556" t="s">
        <v>40</v>
      </c>
      <c r="G556">
        <f t="shared" si="66"/>
        <v>6</v>
      </c>
      <c r="H556">
        <f t="shared" si="67"/>
        <v>1</v>
      </c>
      <c r="I556">
        <f t="shared" si="68"/>
        <v>7</v>
      </c>
      <c r="J556">
        <f t="shared" si="64"/>
        <v>0</v>
      </c>
      <c r="K556">
        <f t="shared" si="65"/>
        <v>0</v>
      </c>
      <c r="L556">
        <f t="shared" si="63"/>
        <v>-4</v>
      </c>
    </row>
    <row r="557" spans="1:12" x14ac:dyDescent="0.25">
      <c r="A557">
        <v>30</v>
      </c>
      <c r="B557" s="1">
        <v>45536</v>
      </c>
      <c r="C557" t="s">
        <v>29</v>
      </c>
      <c r="D557">
        <v>6</v>
      </c>
      <c r="E557">
        <v>7</v>
      </c>
      <c r="F557" t="s">
        <v>39</v>
      </c>
      <c r="G557">
        <f t="shared" si="66"/>
        <v>5</v>
      </c>
      <c r="H557">
        <f t="shared" si="67"/>
        <v>0</v>
      </c>
      <c r="I557">
        <f t="shared" si="68"/>
        <v>5</v>
      </c>
      <c r="J557">
        <f t="shared" si="64"/>
        <v>0</v>
      </c>
      <c r="K557">
        <f t="shared" si="65"/>
        <v>0</v>
      </c>
      <c r="L557">
        <f t="shared" si="63"/>
        <v>-1</v>
      </c>
    </row>
    <row r="558" spans="1:12" x14ac:dyDescent="0.25">
      <c r="A558">
        <v>30</v>
      </c>
      <c r="B558" s="1">
        <v>45536</v>
      </c>
      <c r="C558" t="s">
        <v>29</v>
      </c>
      <c r="D558">
        <v>7</v>
      </c>
      <c r="E558">
        <v>8</v>
      </c>
      <c r="F558" t="s">
        <v>38</v>
      </c>
      <c r="G558">
        <f t="shared" si="66"/>
        <v>4</v>
      </c>
      <c r="H558">
        <f t="shared" si="67"/>
        <v>0</v>
      </c>
      <c r="I558">
        <f t="shared" si="68"/>
        <v>4</v>
      </c>
      <c r="J558">
        <f t="shared" si="64"/>
        <v>0</v>
      </c>
      <c r="K558">
        <f t="shared" si="65"/>
        <v>0</v>
      </c>
      <c r="L558">
        <f t="shared" si="63"/>
        <v>-1</v>
      </c>
    </row>
    <row r="559" spans="1:12" x14ac:dyDescent="0.25">
      <c r="A559">
        <v>30</v>
      </c>
      <c r="B559" s="1">
        <v>45536</v>
      </c>
      <c r="C559" t="s">
        <v>29</v>
      </c>
      <c r="D559">
        <v>8</v>
      </c>
      <c r="E559">
        <v>4</v>
      </c>
      <c r="F559" t="s">
        <v>41</v>
      </c>
      <c r="G559">
        <f t="shared" si="66"/>
        <v>3</v>
      </c>
      <c r="H559">
        <f t="shared" si="67"/>
        <v>0</v>
      </c>
      <c r="I559">
        <f t="shared" si="68"/>
        <v>3</v>
      </c>
      <c r="J559">
        <f t="shared" si="64"/>
        <v>0</v>
      </c>
      <c r="K559">
        <f t="shared" si="65"/>
        <v>0</v>
      </c>
      <c r="L559">
        <f t="shared" si="63"/>
        <v>4</v>
      </c>
    </row>
    <row r="560" spans="1:12" x14ac:dyDescent="0.25">
      <c r="A560">
        <v>30</v>
      </c>
      <c r="B560" s="1">
        <v>45536</v>
      </c>
      <c r="C560" t="s">
        <v>29</v>
      </c>
      <c r="D560">
        <v>9</v>
      </c>
      <c r="E560">
        <v>5</v>
      </c>
      <c r="F560" t="s">
        <v>42</v>
      </c>
      <c r="G560">
        <f t="shared" si="66"/>
        <v>2</v>
      </c>
      <c r="H560">
        <f t="shared" si="67"/>
        <v>0</v>
      </c>
      <c r="I560">
        <f t="shared" si="68"/>
        <v>2</v>
      </c>
      <c r="J560">
        <f t="shared" si="64"/>
        <v>0</v>
      </c>
      <c r="K560">
        <f t="shared" si="65"/>
        <v>0</v>
      </c>
      <c r="L560">
        <f t="shared" si="63"/>
        <v>4</v>
      </c>
    </row>
    <row r="561" spans="1:12" x14ac:dyDescent="0.25">
      <c r="A561">
        <v>30</v>
      </c>
      <c r="B561" s="1">
        <v>45536</v>
      </c>
      <c r="C561" t="s">
        <v>29</v>
      </c>
      <c r="D561">
        <v>10</v>
      </c>
      <c r="E561">
        <v>10</v>
      </c>
      <c r="F561" t="s">
        <v>43</v>
      </c>
      <c r="G561">
        <f t="shared" si="66"/>
        <v>1</v>
      </c>
      <c r="H561">
        <f t="shared" si="67"/>
        <v>0</v>
      </c>
      <c r="I561">
        <f t="shared" si="68"/>
        <v>1</v>
      </c>
      <c r="J561">
        <f t="shared" si="64"/>
        <v>0</v>
      </c>
      <c r="K561">
        <f t="shared" si="65"/>
        <v>0</v>
      </c>
      <c r="L561">
        <f t="shared" si="63"/>
        <v>0</v>
      </c>
    </row>
    <row r="562" spans="1:12" x14ac:dyDescent="0.25">
      <c r="A562">
        <v>31</v>
      </c>
      <c r="B562" s="1">
        <v>45543</v>
      </c>
      <c r="C562" t="s">
        <v>4</v>
      </c>
      <c r="D562">
        <v>1</v>
      </c>
      <c r="E562">
        <v>2</v>
      </c>
      <c r="F562" t="s">
        <v>9</v>
      </c>
      <c r="G562">
        <f t="shared" si="66"/>
        <v>10</v>
      </c>
      <c r="H562">
        <f t="shared" si="67"/>
        <v>9</v>
      </c>
      <c r="I562">
        <f t="shared" si="68"/>
        <v>19</v>
      </c>
      <c r="J562">
        <f t="shared" si="64"/>
        <v>1</v>
      </c>
      <c r="K562">
        <f t="shared" si="65"/>
        <v>1</v>
      </c>
      <c r="L562">
        <f t="shared" si="63"/>
        <v>-1</v>
      </c>
    </row>
    <row r="563" spans="1:12" x14ac:dyDescent="0.25">
      <c r="A563">
        <v>31</v>
      </c>
      <c r="B563" s="1">
        <v>45543</v>
      </c>
      <c r="C563" t="s">
        <v>4</v>
      </c>
      <c r="D563">
        <v>2</v>
      </c>
      <c r="E563">
        <v>1</v>
      </c>
      <c r="F563" t="s">
        <v>10</v>
      </c>
      <c r="G563">
        <f t="shared" si="66"/>
        <v>9</v>
      </c>
      <c r="H563">
        <f t="shared" si="67"/>
        <v>7</v>
      </c>
      <c r="I563">
        <f t="shared" si="68"/>
        <v>16</v>
      </c>
      <c r="J563">
        <f t="shared" si="64"/>
        <v>0</v>
      </c>
      <c r="K563">
        <f t="shared" si="65"/>
        <v>1</v>
      </c>
      <c r="L563">
        <f t="shared" si="63"/>
        <v>1</v>
      </c>
    </row>
    <row r="564" spans="1:12" x14ac:dyDescent="0.25">
      <c r="A564">
        <v>31</v>
      </c>
      <c r="B564" s="1">
        <v>45543</v>
      </c>
      <c r="C564" t="s">
        <v>4</v>
      </c>
      <c r="D564">
        <v>3</v>
      </c>
      <c r="E564">
        <v>3</v>
      </c>
      <c r="F564" t="s">
        <v>13</v>
      </c>
      <c r="G564">
        <f t="shared" si="66"/>
        <v>8</v>
      </c>
      <c r="H564">
        <f t="shared" si="67"/>
        <v>5</v>
      </c>
      <c r="I564">
        <f t="shared" si="68"/>
        <v>13</v>
      </c>
      <c r="J564">
        <f t="shared" si="64"/>
        <v>0</v>
      </c>
      <c r="K564">
        <f t="shared" si="65"/>
        <v>1</v>
      </c>
      <c r="L564">
        <f t="shared" si="63"/>
        <v>0</v>
      </c>
    </row>
    <row r="565" spans="1:12" x14ac:dyDescent="0.25">
      <c r="A565">
        <v>31</v>
      </c>
      <c r="B565" s="1">
        <v>45543</v>
      </c>
      <c r="C565" t="s">
        <v>4</v>
      </c>
      <c r="D565">
        <v>4</v>
      </c>
      <c r="E565">
        <v>5</v>
      </c>
      <c r="F565" t="s">
        <v>17</v>
      </c>
      <c r="G565">
        <f t="shared" si="66"/>
        <v>7</v>
      </c>
      <c r="H565">
        <f t="shared" si="67"/>
        <v>3</v>
      </c>
      <c r="I565">
        <f t="shared" si="68"/>
        <v>10</v>
      </c>
      <c r="J565">
        <f t="shared" si="64"/>
        <v>0</v>
      </c>
      <c r="K565">
        <f t="shared" si="65"/>
        <v>0</v>
      </c>
      <c r="L565">
        <f t="shared" si="63"/>
        <v>-1</v>
      </c>
    </row>
    <row r="566" spans="1:12" x14ac:dyDescent="0.25">
      <c r="A566">
        <v>31</v>
      </c>
      <c r="B566" s="1">
        <v>45543</v>
      </c>
      <c r="C566" t="s">
        <v>4</v>
      </c>
      <c r="D566">
        <v>5</v>
      </c>
      <c r="E566">
        <v>7</v>
      </c>
      <c r="F566" t="s">
        <v>11</v>
      </c>
      <c r="G566">
        <f t="shared" si="66"/>
        <v>6</v>
      </c>
      <c r="H566">
        <f t="shared" si="67"/>
        <v>1</v>
      </c>
      <c r="I566">
        <f t="shared" si="68"/>
        <v>7</v>
      </c>
      <c r="J566">
        <f t="shared" si="64"/>
        <v>0</v>
      </c>
      <c r="K566">
        <f t="shared" si="65"/>
        <v>0</v>
      </c>
      <c r="L566">
        <f t="shared" si="63"/>
        <v>-2</v>
      </c>
    </row>
    <row r="567" spans="1:12" x14ac:dyDescent="0.25">
      <c r="A567">
        <v>31</v>
      </c>
      <c r="B567" s="1">
        <v>45543</v>
      </c>
      <c r="C567" t="s">
        <v>4</v>
      </c>
      <c r="D567">
        <v>6</v>
      </c>
      <c r="E567">
        <v>4</v>
      </c>
      <c r="F567" t="s">
        <v>16</v>
      </c>
      <c r="G567">
        <f t="shared" si="66"/>
        <v>5</v>
      </c>
      <c r="H567">
        <f t="shared" si="67"/>
        <v>0</v>
      </c>
      <c r="I567">
        <f t="shared" si="68"/>
        <v>5</v>
      </c>
      <c r="J567">
        <f t="shared" si="64"/>
        <v>0</v>
      </c>
      <c r="K567">
        <f t="shared" si="65"/>
        <v>0</v>
      </c>
      <c r="L567">
        <f t="shared" si="63"/>
        <v>2</v>
      </c>
    </row>
    <row r="568" spans="1:12" x14ac:dyDescent="0.25">
      <c r="A568">
        <v>31</v>
      </c>
      <c r="B568" s="1">
        <v>45543</v>
      </c>
      <c r="C568" t="s">
        <v>4</v>
      </c>
      <c r="D568">
        <v>7</v>
      </c>
      <c r="E568">
        <v>6</v>
      </c>
      <c r="F568" t="s">
        <v>14</v>
      </c>
      <c r="G568">
        <f t="shared" si="66"/>
        <v>4</v>
      </c>
      <c r="H568">
        <f t="shared" si="67"/>
        <v>0</v>
      </c>
      <c r="I568">
        <f t="shared" si="68"/>
        <v>4</v>
      </c>
      <c r="J568">
        <f t="shared" si="64"/>
        <v>0</v>
      </c>
      <c r="K568">
        <f t="shared" si="65"/>
        <v>0</v>
      </c>
      <c r="L568">
        <f t="shared" si="63"/>
        <v>1</v>
      </c>
    </row>
    <row r="569" spans="1:12" x14ac:dyDescent="0.25">
      <c r="A569">
        <v>31</v>
      </c>
      <c r="B569" s="1">
        <v>45543</v>
      </c>
      <c r="C569" t="s">
        <v>4</v>
      </c>
      <c r="D569">
        <v>8</v>
      </c>
      <c r="E569">
        <v>9</v>
      </c>
      <c r="F569" t="s">
        <v>15</v>
      </c>
      <c r="G569">
        <f t="shared" si="66"/>
        <v>3</v>
      </c>
      <c r="H569">
        <f t="shared" si="67"/>
        <v>0</v>
      </c>
      <c r="I569">
        <f t="shared" si="68"/>
        <v>3</v>
      </c>
      <c r="J569">
        <f t="shared" si="64"/>
        <v>0</v>
      </c>
      <c r="K569">
        <f t="shared" si="65"/>
        <v>0</v>
      </c>
      <c r="L569">
        <f t="shared" si="63"/>
        <v>-1</v>
      </c>
    </row>
    <row r="570" spans="1:12" x14ac:dyDescent="0.25">
      <c r="A570">
        <v>31</v>
      </c>
      <c r="B570" s="1">
        <v>45543</v>
      </c>
      <c r="C570" t="s">
        <v>4</v>
      </c>
      <c r="D570">
        <v>9</v>
      </c>
      <c r="E570">
        <v>8</v>
      </c>
      <c r="F570" t="s">
        <v>19</v>
      </c>
      <c r="G570">
        <f t="shared" si="66"/>
        <v>2</v>
      </c>
      <c r="H570">
        <f t="shared" si="67"/>
        <v>0</v>
      </c>
      <c r="I570">
        <f t="shared" si="68"/>
        <v>2</v>
      </c>
      <c r="J570">
        <f t="shared" si="64"/>
        <v>0</v>
      </c>
      <c r="K570">
        <f t="shared" si="65"/>
        <v>0</v>
      </c>
      <c r="L570">
        <f t="shared" si="63"/>
        <v>1</v>
      </c>
    </row>
    <row r="571" spans="1:12" x14ac:dyDescent="0.25">
      <c r="A571">
        <v>31</v>
      </c>
      <c r="B571" s="1">
        <v>45543</v>
      </c>
      <c r="C571" t="s">
        <v>4</v>
      </c>
      <c r="D571">
        <v>10</v>
      </c>
      <c r="E571">
        <v>10</v>
      </c>
      <c r="F571" t="s">
        <v>20</v>
      </c>
      <c r="G571">
        <f t="shared" si="66"/>
        <v>1</v>
      </c>
      <c r="H571">
        <f t="shared" si="67"/>
        <v>0</v>
      </c>
      <c r="I571">
        <f t="shared" si="68"/>
        <v>1</v>
      </c>
      <c r="J571">
        <f t="shared" si="64"/>
        <v>0</v>
      </c>
      <c r="K571">
        <f t="shared" si="65"/>
        <v>0</v>
      </c>
      <c r="L571">
        <f t="shared" si="63"/>
        <v>0</v>
      </c>
    </row>
    <row r="572" spans="1:12" x14ac:dyDescent="0.25">
      <c r="A572">
        <v>31</v>
      </c>
      <c r="B572" s="1">
        <v>45543</v>
      </c>
      <c r="C572" t="s">
        <v>29</v>
      </c>
      <c r="D572">
        <v>1</v>
      </c>
      <c r="E572">
        <v>1</v>
      </c>
      <c r="F572" t="s">
        <v>31</v>
      </c>
      <c r="G572">
        <f t="shared" si="66"/>
        <v>10</v>
      </c>
      <c r="H572">
        <f t="shared" si="67"/>
        <v>9</v>
      </c>
      <c r="I572">
        <f t="shared" si="68"/>
        <v>19</v>
      </c>
      <c r="J572">
        <f t="shared" si="64"/>
        <v>1</v>
      </c>
      <c r="K572">
        <f t="shared" si="65"/>
        <v>1</v>
      </c>
      <c r="L572">
        <f t="shared" si="63"/>
        <v>0</v>
      </c>
    </row>
    <row r="573" spans="1:12" x14ac:dyDescent="0.25">
      <c r="A573">
        <v>31</v>
      </c>
      <c r="B573" s="1">
        <v>45543</v>
      </c>
      <c r="C573" t="s">
        <v>29</v>
      </c>
      <c r="D573">
        <v>2</v>
      </c>
      <c r="E573">
        <v>2</v>
      </c>
      <c r="F573" t="s">
        <v>33</v>
      </c>
      <c r="G573">
        <f t="shared" si="66"/>
        <v>9</v>
      </c>
      <c r="H573">
        <f t="shared" si="67"/>
        <v>7</v>
      </c>
      <c r="I573">
        <f t="shared" si="68"/>
        <v>16</v>
      </c>
      <c r="J573">
        <f t="shared" si="64"/>
        <v>0</v>
      </c>
      <c r="K573">
        <f t="shared" si="65"/>
        <v>1</v>
      </c>
      <c r="L573">
        <f t="shared" si="63"/>
        <v>0</v>
      </c>
    </row>
    <row r="574" spans="1:12" x14ac:dyDescent="0.25">
      <c r="A574">
        <v>31</v>
      </c>
      <c r="B574" s="1">
        <v>45543</v>
      </c>
      <c r="C574" t="s">
        <v>29</v>
      </c>
      <c r="D574">
        <v>3</v>
      </c>
      <c r="E574">
        <v>4</v>
      </c>
      <c r="F574" t="s">
        <v>30</v>
      </c>
      <c r="G574">
        <f t="shared" si="66"/>
        <v>8</v>
      </c>
      <c r="H574">
        <f t="shared" si="67"/>
        <v>5</v>
      </c>
      <c r="I574">
        <f t="shared" si="68"/>
        <v>13</v>
      </c>
      <c r="J574">
        <f t="shared" si="64"/>
        <v>0</v>
      </c>
      <c r="K574">
        <f t="shared" si="65"/>
        <v>1</v>
      </c>
      <c r="L574">
        <f t="shared" si="63"/>
        <v>-1</v>
      </c>
    </row>
    <row r="575" spans="1:12" x14ac:dyDescent="0.25">
      <c r="A575">
        <v>31</v>
      </c>
      <c r="B575" s="1">
        <v>45543</v>
      </c>
      <c r="C575" t="s">
        <v>29</v>
      </c>
      <c r="D575">
        <v>4</v>
      </c>
      <c r="E575">
        <v>3</v>
      </c>
      <c r="F575" t="s">
        <v>36</v>
      </c>
      <c r="G575">
        <f t="shared" si="66"/>
        <v>7</v>
      </c>
      <c r="H575">
        <f t="shared" si="67"/>
        <v>3</v>
      </c>
      <c r="I575">
        <f t="shared" si="68"/>
        <v>10</v>
      </c>
      <c r="J575">
        <f t="shared" si="64"/>
        <v>0</v>
      </c>
      <c r="K575">
        <f t="shared" si="65"/>
        <v>0</v>
      </c>
      <c r="L575">
        <f t="shared" si="63"/>
        <v>1</v>
      </c>
    </row>
    <row r="576" spans="1:12" x14ac:dyDescent="0.25">
      <c r="A576">
        <v>31</v>
      </c>
      <c r="B576" s="1">
        <v>45543</v>
      </c>
      <c r="C576" t="s">
        <v>29</v>
      </c>
      <c r="D576">
        <v>5</v>
      </c>
      <c r="E576">
        <v>6</v>
      </c>
      <c r="F576" t="s">
        <v>39</v>
      </c>
      <c r="G576">
        <f t="shared" si="66"/>
        <v>6</v>
      </c>
      <c r="H576">
        <f t="shared" si="67"/>
        <v>1</v>
      </c>
      <c r="I576">
        <f t="shared" si="68"/>
        <v>7</v>
      </c>
      <c r="J576">
        <f t="shared" si="64"/>
        <v>0</v>
      </c>
      <c r="K576">
        <f t="shared" si="65"/>
        <v>0</v>
      </c>
      <c r="L576">
        <f t="shared" si="63"/>
        <v>-1</v>
      </c>
    </row>
    <row r="577" spans="1:12" x14ac:dyDescent="0.25">
      <c r="A577">
        <v>31</v>
      </c>
      <c r="B577" s="1">
        <v>45543</v>
      </c>
      <c r="C577" t="s">
        <v>29</v>
      </c>
      <c r="D577">
        <v>6</v>
      </c>
      <c r="E577">
        <v>5</v>
      </c>
      <c r="F577" t="s">
        <v>40</v>
      </c>
      <c r="G577">
        <f t="shared" si="66"/>
        <v>5</v>
      </c>
      <c r="H577">
        <f t="shared" si="67"/>
        <v>0</v>
      </c>
      <c r="I577">
        <f t="shared" si="68"/>
        <v>5</v>
      </c>
      <c r="J577">
        <f t="shared" si="64"/>
        <v>0</v>
      </c>
      <c r="K577">
        <f t="shared" si="65"/>
        <v>0</v>
      </c>
      <c r="L577">
        <f t="shared" si="63"/>
        <v>1</v>
      </c>
    </row>
    <row r="578" spans="1:12" x14ac:dyDescent="0.25">
      <c r="A578">
        <v>31</v>
      </c>
      <c r="B578" s="1">
        <v>45543</v>
      </c>
      <c r="C578" t="s">
        <v>29</v>
      </c>
      <c r="D578">
        <v>7</v>
      </c>
      <c r="E578">
        <v>7</v>
      </c>
      <c r="F578" t="s">
        <v>38</v>
      </c>
      <c r="G578">
        <f t="shared" si="66"/>
        <v>4</v>
      </c>
      <c r="H578">
        <f t="shared" si="67"/>
        <v>0</v>
      </c>
      <c r="I578">
        <f t="shared" si="68"/>
        <v>4</v>
      </c>
      <c r="J578">
        <f t="shared" si="64"/>
        <v>0</v>
      </c>
      <c r="K578">
        <f t="shared" si="65"/>
        <v>0</v>
      </c>
      <c r="L578">
        <f t="shared" si="63"/>
        <v>0</v>
      </c>
    </row>
    <row r="579" spans="1:12" x14ac:dyDescent="0.25">
      <c r="A579">
        <v>31</v>
      </c>
      <c r="B579" s="1">
        <v>45543</v>
      </c>
      <c r="C579" t="s">
        <v>29</v>
      </c>
      <c r="D579">
        <v>8</v>
      </c>
      <c r="E579">
        <v>11</v>
      </c>
      <c r="F579" t="s">
        <v>32</v>
      </c>
      <c r="G579">
        <f t="shared" si="66"/>
        <v>3</v>
      </c>
      <c r="H579">
        <f t="shared" si="67"/>
        <v>0</v>
      </c>
      <c r="I579">
        <f t="shared" si="68"/>
        <v>3</v>
      </c>
      <c r="J579">
        <f t="shared" si="64"/>
        <v>0</v>
      </c>
      <c r="K579">
        <f t="shared" si="65"/>
        <v>0</v>
      </c>
      <c r="L579">
        <f t="shared" ref="L579:L642" si="69">D579-E579</f>
        <v>-3</v>
      </c>
    </row>
    <row r="580" spans="1:12" x14ac:dyDescent="0.25">
      <c r="A580">
        <v>31</v>
      </c>
      <c r="B580" s="1">
        <v>45543</v>
      </c>
      <c r="C580" t="s">
        <v>29</v>
      </c>
      <c r="D580">
        <v>9</v>
      </c>
      <c r="E580">
        <v>8</v>
      </c>
      <c r="F580" t="s">
        <v>41</v>
      </c>
      <c r="G580">
        <f t="shared" si="66"/>
        <v>2</v>
      </c>
      <c r="H580">
        <f t="shared" si="67"/>
        <v>0</v>
      </c>
      <c r="I580">
        <f t="shared" si="68"/>
        <v>2</v>
      </c>
      <c r="J580">
        <f t="shared" si="64"/>
        <v>0</v>
      </c>
      <c r="K580">
        <f t="shared" si="65"/>
        <v>0</v>
      </c>
      <c r="L580">
        <f t="shared" si="69"/>
        <v>1</v>
      </c>
    </row>
    <row r="581" spans="1:12" x14ac:dyDescent="0.25">
      <c r="A581">
        <v>31</v>
      </c>
      <c r="B581" s="1">
        <v>45543</v>
      </c>
      <c r="C581" t="s">
        <v>29</v>
      </c>
      <c r="D581">
        <v>10</v>
      </c>
      <c r="E581">
        <v>11</v>
      </c>
      <c r="F581" t="s">
        <v>34</v>
      </c>
      <c r="G581">
        <f t="shared" si="66"/>
        <v>1</v>
      </c>
      <c r="H581">
        <f t="shared" si="67"/>
        <v>0</v>
      </c>
      <c r="I581">
        <f t="shared" si="68"/>
        <v>1</v>
      </c>
      <c r="J581">
        <f t="shared" si="64"/>
        <v>0</v>
      </c>
      <c r="K581">
        <f t="shared" si="65"/>
        <v>0</v>
      </c>
      <c r="L581">
        <f t="shared" si="69"/>
        <v>-1</v>
      </c>
    </row>
    <row r="582" spans="1:12" x14ac:dyDescent="0.25">
      <c r="A582">
        <v>32</v>
      </c>
      <c r="B582" s="1">
        <v>45557</v>
      </c>
      <c r="C582" t="s">
        <v>4</v>
      </c>
      <c r="D582">
        <v>1</v>
      </c>
      <c r="E582">
        <v>1</v>
      </c>
      <c r="F582" t="s">
        <v>9</v>
      </c>
      <c r="G582">
        <f t="shared" si="66"/>
        <v>10</v>
      </c>
      <c r="H582">
        <f t="shared" si="67"/>
        <v>9</v>
      </c>
      <c r="I582">
        <f t="shared" si="68"/>
        <v>19</v>
      </c>
      <c r="J582">
        <f t="shared" si="64"/>
        <v>1</v>
      </c>
      <c r="K582">
        <f t="shared" si="65"/>
        <v>1</v>
      </c>
      <c r="L582">
        <f t="shared" si="69"/>
        <v>0</v>
      </c>
    </row>
    <row r="583" spans="1:12" x14ac:dyDescent="0.25">
      <c r="A583">
        <v>32</v>
      </c>
      <c r="B583" s="1">
        <v>45557</v>
      </c>
      <c r="C583" t="s">
        <v>4</v>
      </c>
      <c r="D583">
        <v>2</v>
      </c>
      <c r="E583">
        <v>2</v>
      </c>
      <c r="F583" t="s">
        <v>10</v>
      </c>
      <c r="G583">
        <f t="shared" si="66"/>
        <v>9</v>
      </c>
      <c r="H583">
        <f t="shared" si="67"/>
        <v>7</v>
      </c>
      <c r="I583">
        <f t="shared" si="68"/>
        <v>16</v>
      </c>
      <c r="J583">
        <f t="shared" si="64"/>
        <v>0</v>
      </c>
      <c r="K583">
        <f t="shared" si="65"/>
        <v>1</v>
      </c>
      <c r="L583">
        <f t="shared" si="69"/>
        <v>0</v>
      </c>
    </row>
    <row r="584" spans="1:12" x14ac:dyDescent="0.25">
      <c r="A584">
        <v>32</v>
      </c>
      <c r="B584" s="1">
        <v>45557</v>
      </c>
      <c r="C584" t="s">
        <v>4</v>
      </c>
      <c r="D584">
        <v>3</v>
      </c>
      <c r="E584">
        <v>3</v>
      </c>
      <c r="F584" t="s">
        <v>13</v>
      </c>
      <c r="G584">
        <f t="shared" si="66"/>
        <v>8</v>
      </c>
      <c r="H584">
        <f t="shared" si="67"/>
        <v>5</v>
      </c>
      <c r="I584">
        <f t="shared" si="68"/>
        <v>13</v>
      </c>
      <c r="J584">
        <f t="shared" si="64"/>
        <v>0</v>
      </c>
      <c r="K584">
        <f t="shared" si="65"/>
        <v>1</v>
      </c>
      <c r="L584">
        <f t="shared" si="69"/>
        <v>0</v>
      </c>
    </row>
    <row r="585" spans="1:12" x14ac:dyDescent="0.25">
      <c r="A585">
        <v>32</v>
      </c>
      <c r="B585" s="1">
        <v>45557</v>
      </c>
      <c r="C585" t="s">
        <v>4</v>
      </c>
      <c r="D585">
        <v>4</v>
      </c>
      <c r="E585">
        <v>5</v>
      </c>
      <c r="F585" t="s">
        <v>11</v>
      </c>
      <c r="G585">
        <f t="shared" si="66"/>
        <v>7</v>
      </c>
      <c r="H585">
        <f t="shared" si="67"/>
        <v>3</v>
      </c>
      <c r="I585">
        <f t="shared" si="68"/>
        <v>10</v>
      </c>
      <c r="J585">
        <f t="shared" si="64"/>
        <v>0</v>
      </c>
      <c r="K585">
        <f t="shared" si="65"/>
        <v>0</v>
      </c>
      <c r="L585">
        <f t="shared" si="69"/>
        <v>-1</v>
      </c>
    </row>
    <row r="586" spans="1:12" x14ac:dyDescent="0.25">
      <c r="A586">
        <v>32</v>
      </c>
      <c r="B586" s="1">
        <v>45557</v>
      </c>
      <c r="C586" t="s">
        <v>4</v>
      </c>
      <c r="D586">
        <v>5</v>
      </c>
      <c r="E586">
        <v>4</v>
      </c>
      <c r="F586" t="s">
        <v>17</v>
      </c>
      <c r="G586">
        <f t="shared" si="66"/>
        <v>6</v>
      </c>
      <c r="H586">
        <f t="shared" si="67"/>
        <v>1</v>
      </c>
      <c r="I586">
        <f t="shared" si="68"/>
        <v>7</v>
      </c>
      <c r="J586">
        <f t="shared" si="64"/>
        <v>0</v>
      </c>
      <c r="K586">
        <f t="shared" si="65"/>
        <v>0</v>
      </c>
      <c r="L586">
        <f t="shared" si="69"/>
        <v>1</v>
      </c>
    </row>
    <row r="587" spans="1:12" x14ac:dyDescent="0.25">
      <c r="A587">
        <v>32</v>
      </c>
      <c r="B587" s="1">
        <v>45557</v>
      </c>
      <c r="C587" t="s">
        <v>4</v>
      </c>
      <c r="D587">
        <v>6</v>
      </c>
      <c r="E587">
        <v>7</v>
      </c>
      <c r="F587" t="s">
        <v>14</v>
      </c>
      <c r="G587">
        <f t="shared" si="66"/>
        <v>5</v>
      </c>
      <c r="H587">
        <f t="shared" si="67"/>
        <v>0</v>
      </c>
      <c r="I587">
        <f t="shared" si="68"/>
        <v>5</v>
      </c>
      <c r="J587">
        <f t="shared" si="64"/>
        <v>0</v>
      </c>
      <c r="K587">
        <f t="shared" si="65"/>
        <v>0</v>
      </c>
      <c r="L587">
        <f t="shared" si="69"/>
        <v>-1</v>
      </c>
    </row>
    <row r="588" spans="1:12" x14ac:dyDescent="0.25">
      <c r="A588">
        <v>32</v>
      </c>
      <c r="B588" s="1">
        <v>45557</v>
      </c>
      <c r="C588" t="s">
        <v>4</v>
      </c>
      <c r="D588">
        <v>7</v>
      </c>
      <c r="E588">
        <v>6</v>
      </c>
      <c r="F588" t="s">
        <v>16</v>
      </c>
      <c r="G588">
        <f t="shared" si="66"/>
        <v>4</v>
      </c>
      <c r="H588">
        <f t="shared" si="67"/>
        <v>0</v>
      </c>
      <c r="I588">
        <f t="shared" si="68"/>
        <v>4</v>
      </c>
      <c r="J588">
        <f t="shared" si="64"/>
        <v>0</v>
      </c>
      <c r="K588">
        <f t="shared" si="65"/>
        <v>0</v>
      </c>
      <c r="L588">
        <f t="shared" si="69"/>
        <v>1</v>
      </c>
    </row>
    <row r="589" spans="1:12" x14ac:dyDescent="0.25">
      <c r="A589">
        <v>32</v>
      </c>
      <c r="B589" s="1">
        <v>45557</v>
      </c>
      <c r="C589" t="s">
        <v>4</v>
      </c>
      <c r="D589">
        <v>8</v>
      </c>
      <c r="E589">
        <v>8</v>
      </c>
      <c r="F589" t="s">
        <v>15</v>
      </c>
      <c r="G589">
        <f t="shared" si="66"/>
        <v>3</v>
      </c>
      <c r="H589">
        <f t="shared" si="67"/>
        <v>0</v>
      </c>
      <c r="I589">
        <f t="shared" si="68"/>
        <v>3</v>
      </c>
      <c r="J589">
        <f t="shared" ref="J589:J652" si="70">COUNTIF(D589,"=1")</f>
        <v>0</v>
      </c>
      <c r="K589">
        <f t="shared" ref="K589:K652" si="71">COUNTIF(D589,"&lt;4")</f>
        <v>0</v>
      </c>
      <c r="L589">
        <f t="shared" si="69"/>
        <v>0</v>
      </c>
    </row>
    <row r="590" spans="1:12" x14ac:dyDescent="0.25">
      <c r="A590">
        <v>32</v>
      </c>
      <c r="B590" s="1">
        <v>45557</v>
      </c>
      <c r="C590" t="s">
        <v>4</v>
      </c>
      <c r="D590">
        <v>9</v>
      </c>
      <c r="E590">
        <v>9</v>
      </c>
      <c r="F590" t="s">
        <v>19</v>
      </c>
      <c r="G590">
        <f t="shared" si="66"/>
        <v>2</v>
      </c>
      <c r="H590">
        <f t="shared" si="67"/>
        <v>0</v>
      </c>
      <c r="I590">
        <f t="shared" si="68"/>
        <v>2</v>
      </c>
      <c r="J590">
        <f t="shared" si="70"/>
        <v>0</v>
      </c>
      <c r="K590">
        <f t="shared" si="71"/>
        <v>0</v>
      </c>
      <c r="L590">
        <f t="shared" si="69"/>
        <v>0</v>
      </c>
    </row>
    <row r="591" spans="1:12" x14ac:dyDescent="0.25">
      <c r="A591">
        <v>32</v>
      </c>
      <c r="B591" s="1">
        <v>45557</v>
      </c>
      <c r="C591" t="s">
        <v>4</v>
      </c>
      <c r="D591">
        <v>10</v>
      </c>
      <c r="E591">
        <v>10</v>
      </c>
      <c r="F591" t="s">
        <v>20</v>
      </c>
      <c r="G591">
        <f t="shared" si="66"/>
        <v>1</v>
      </c>
      <c r="H591">
        <f t="shared" si="67"/>
        <v>0</v>
      </c>
      <c r="I591">
        <f t="shared" si="68"/>
        <v>1</v>
      </c>
      <c r="J591">
        <f t="shared" si="70"/>
        <v>0</v>
      </c>
      <c r="K591">
        <f t="shared" si="71"/>
        <v>0</v>
      </c>
      <c r="L591">
        <f t="shared" si="69"/>
        <v>0</v>
      </c>
    </row>
    <row r="592" spans="1:12" x14ac:dyDescent="0.25">
      <c r="A592">
        <v>32</v>
      </c>
      <c r="B592" s="1">
        <v>45557</v>
      </c>
      <c r="C592" t="s">
        <v>29</v>
      </c>
      <c r="D592">
        <v>1</v>
      </c>
      <c r="E592">
        <v>1</v>
      </c>
      <c r="F592" t="s">
        <v>31</v>
      </c>
      <c r="G592">
        <f t="shared" si="66"/>
        <v>10</v>
      </c>
      <c r="H592">
        <f t="shared" si="67"/>
        <v>9</v>
      </c>
      <c r="I592">
        <f t="shared" si="68"/>
        <v>19</v>
      </c>
      <c r="J592">
        <f t="shared" si="70"/>
        <v>1</v>
      </c>
      <c r="K592">
        <f t="shared" si="71"/>
        <v>1</v>
      </c>
      <c r="L592">
        <f t="shared" si="69"/>
        <v>0</v>
      </c>
    </row>
    <row r="593" spans="1:12" x14ac:dyDescent="0.25">
      <c r="A593">
        <v>32</v>
      </c>
      <c r="B593" s="1">
        <v>45557</v>
      </c>
      <c r="C593" t="s">
        <v>29</v>
      </c>
      <c r="D593">
        <v>2</v>
      </c>
      <c r="E593">
        <v>3</v>
      </c>
      <c r="F593" t="s">
        <v>30</v>
      </c>
      <c r="G593">
        <f t="shared" si="66"/>
        <v>9</v>
      </c>
      <c r="H593">
        <f t="shared" si="67"/>
        <v>7</v>
      </c>
      <c r="I593">
        <f t="shared" si="68"/>
        <v>16</v>
      </c>
      <c r="J593">
        <f t="shared" si="70"/>
        <v>0</v>
      </c>
      <c r="K593">
        <f t="shared" si="71"/>
        <v>1</v>
      </c>
      <c r="L593">
        <f t="shared" si="69"/>
        <v>-1</v>
      </c>
    </row>
    <row r="594" spans="1:12" x14ac:dyDescent="0.25">
      <c r="A594">
        <v>32</v>
      </c>
      <c r="B594" s="1">
        <v>45557</v>
      </c>
      <c r="C594" t="s">
        <v>29</v>
      </c>
      <c r="D594">
        <v>3</v>
      </c>
      <c r="E594">
        <v>2</v>
      </c>
      <c r="F594" t="s">
        <v>33</v>
      </c>
      <c r="G594">
        <f t="shared" si="66"/>
        <v>8</v>
      </c>
      <c r="H594">
        <f t="shared" si="67"/>
        <v>5</v>
      </c>
      <c r="I594">
        <f t="shared" si="68"/>
        <v>13</v>
      </c>
      <c r="J594">
        <f t="shared" si="70"/>
        <v>0</v>
      </c>
      <c r="K594">
        <f t="shared" si="71"/>
        <v>1</v>
      </c>
      <c r="L594">
        <f t="shared" si="69"/>
        <v>1</v>
      </c>
    </row>
    <row r="595" spans="1:12" x14ac:dyDescent="0.25">
      <c r="A595">
        <v>32</v>
      </c>
      <c r="B595" s="1">
        <v>45557</v>
      </c>
      <c r="C595" t="s">
        <v>29</v>
      </c>
      <c r="D595">
        <v>4</v>
      </c>
      <c r="E595">
        <v>4</v>
      </c>
      <c r="F595" t="s">
        <v>36</v>
      </c>
      <c r="G595">
        <f t="shared" si="66"/>
        <v>7</v>
      </c>
      <c r="H595">
        <f t="shared" si="67"/>
        <v>3</v>
      </c>
      <c r="I595">
        <f t="shared" si="68"/>
        <v>10</v>
      </c>
      <c r="J595">
        <f t="shared" si="70"/>
        <v>0</v>
      </c>
      <c r="K595">
        <f t="shared" si="71"/>
        <v>0</v>
      </c>
      <c r="L595">
        <f t="shared" si="69"/>
        <v>0</v>
      </c>
    </row>
    <row r="596" spans="1:12" x14ac:dyDescent="0.25">
      <c r="A596">
        <v>32</v>
      </c>
      <c r="B596" s="1">
        <v>45557</v>
      </c>
      <c r="C596" t="s">
        <v>29</v>
      </c>
      <c r="D596">
        <v>5</v>
      </c>
      <c r="E596">
        <v>5</v>
      </c>
      <c r="F596" t="s">
        <v>39</v>
      </c>
      <c r="G596">
        <f t="shared" si="66"/>
        <v>6</v>
      </c>
      <c r="H596">
        <f t="shared" si="67"/>
        <v>1</v>
      </c>
      <c r="I596">
        <f t="shared" si="68"/>
        <v>7</v>
      </c>
      <c r="J596">
        <f t="shared" si="70"/>
        <v>0</v>
      </c>
      <c r="K596">
        <f t="shared" si="71"/>
        <v>0</v>
      </c>
      <c r="L596">
        <f t="shared" si="69"/>
        <v>0</v>
      </c>
    </row>
    <row r="597" spans="1:12" x14ac:dyDescent="0.25">
      <c r="A597">
        <v>32</v>
      </c>
      <c r="B597" s="1">
        <v>45557</v>
      </c>
      <c r="C597" t="s">
        <v>29</v>
      </c>
      <c r="D597">
        <v>6</v>
      </c>
      <c r="E597">
        <v>7</v>
      </c>
      <c r="F597" t="s">
        <v>38</v>
      </c>
      <c r="G597">
        <f t="shared" si="66"/>
        <v>5</v>
      </c>
      <c r="H597">
        <f t="shared" si="67"/>
        <v>0</v>
      </c>
      <c r="I597">
        <f t="shared" si="68"/>
        <v>5</v>
      </c>
      <c r="J597">
        <f t="shared" si="70"/>
        <v>0</v>
      </c>
      <c r="K597">
        <f t="shared" si="71"/>
        <v>0</v>
      </c>
      <c r="L597">
        <f t="shared" si="69"/>
        <v>-1</v>
      </c>
    </row>
    <row r="598" spans="1:12" x14ac:dyDescent="0.25">
      <c r="A598">
        <v>32</v>
      </c>
      <c r="B598" s="1">
        <v>45557</v>
      </c>
      <c r="C598" t="s">
        <v>29</v>
      </c>
      <c r="D598">
        <v>7</v>
      </c>
      <c r="E598">
        <v>8</v>
      </c>
      <c r="F598" t="s">
        <v>32</v>
      </c>
      <c r="G598">
        <f t="shared" si="66"/>
        <v>4</v>
      </c>
      <c r="H598">
        <f t="shared" si="67"/>
        <v>0</v>
      </c>
      <c r="I598">
        <f t="shared" si="68"/>
        <v>4</v>
      </c>
      <c r="J598">
        <f t="shared" si="70"/>
        <v>0</v>
      </c>
      <c r="K598">
        <f t="shared" si="71"/>
        <v>0</v>
      </c>
      <c r="L598">
        <f t="shared" si="69"/>
        <v>-1</v>
      </c>
    </row>
    <row r="599" spans="1:12" x14ac:dyDescent="0.25">
      <c r="A599">
        <v>32</v>
      </c>
      <c r="B599" s="1">
        <v>45557</v>
      </c>
      <c r="C599" t="s">
        <v>29</v>
      </c>
      <c r="D599">
        <v>8</v>
      </c>
      <c r="E599">
        <v>6</v>
      </c>
      <c r="F599" t="s">
        <v>40</v>
      </c>
      <c r="G599">
        <f t="shared" si="66"/>
        <v>3</v>
      </c>
      <c r="H599">
        <f t="shared" si="67"/>
        <v>0</v>
      </c>
      <c r="I599">
        <f t="shared" si="68"/>
        <v>3</v>
      </c>
      <c r="J599">
        <f t="shared" si="70"/>
        <v>0</v>
      </c>
      <c r="K599">
        <f t="shared" si="71"/>
        <v>0</v>
      </c>
      <c r="L599">
        <f t="shared" si="69"/>
        <v>2</v>
      </c>
    </row>
    <row r="600" spans="1:12" x14ac:dyDescent="0.25">
      <c r="A600">
        <v>32</v>
      </c>
      <c r="B600" s="1">
        <v>45557</v>
      </c>
      <c r="C600" t="s">
        <v>29</v>
      </c>
      <c r="D600">
        <v>9</v>
      </c>
      <c r="E600">
        <v>10</v>
      </c>
      <c r="F600" t="s">
        <v>34</v>
      </c>
      <c r="G600">
        <f t="shared" si="66"/>
        <v>2</v>
      </c>
      <c r="H600">
        <f t="shared" si="67"/>
        <v>0</v>
      </c>
      <c r="I600">
        <f t="shared" si="68"/>
        <v>2</v>
      </c>
      <c r="J600">
        <f t="shared" si="70"/>
        <v>0</v>
      </c>
      <c r="K600">
        <f t="shared" si="71"/>
        <v>0</v>
      </c>
      <c r="L600">
        <f t="shared" si="69"/>
        <v>-1</v>
      </c>
    </row>
    <row r="601" spans="1:12" x14ac:dyDescent="0.25">
      <c r="A601">
        <v>32</v>
      </c>
      <c r="B601" s="1">
        <v>45557</v>
      </c>
      <c r="C601" t="s">
        <v>29</v>
      </c>
      <c r="D601">
        <v>10</v>
      </c>
      <c r="E601">
        <v>9</v>
      </c>
      <c r="F601" t="s">
        <v>41</v>
      </c>
      <c r="G601">
        <f t="shared" si="66"/>
        <v>1</v>
      </c>
      <c r="H601">
        <f t="shared" si="67"/>
        <v>0</v>
      </c>
      <c r="I601">
        <f t="shared" si="68"/>
        <v>1</v>
      </c>
      <c r="J601">
        <f t="shared" si="70"/>
        <v>0</v>
      </c>
      <c r="K601">
        <f t="shared" si="71"/>
        <v>0</v>
      </c>
      <c r="L601">
        <f t="shared" si="69"/>
        <v>1</v>
      </c>
    </row>
    <row r="602" spans="1:12" x14ac:dyDescent="0.25">
      <c r="A602">
        <v>33</v>
      </c>
      <c r="B602" s="1">
        <v>45571</v>
      </c>
      <c r="C602" t="s">
        <v>4</v>
      </c>
      <c r="D602">
        <v>1</v>
      </c>
      <c r="E602">
        <v>1</v>
      </c>
      <c r="F602" t="s">
        <v>9</v>
      </c>
      <c r="G602">
        <f t="shared" si="66"/>
        <v>10</v>
      </c>
      <c r="H602">
        <f t="shared" si="67"/>
        <v>9</v>
      </c>
      <c r="I602">
        <f t="shared" si="68"/>
        <v>19</v>
      </c>
      <c r="J602">
        <f t="shared" si="70"/>
        <v>1</v>
      </c>
      <c r="K602">
        <f t="shared" si="71"/>
        <v>1</v>
      </c>
      <c r="L602">
        <f t="shared" si="69"/>
        <v>0</v>
      </c>
    </row>
    <row r="603" spans="1:12" x14ac:dyDescent="0.25">
      <c r="A603">
        <v>33</v>
      </c>
      <c r="B603" s="1">
        <v>45571</v>
      </c>
      <c r="C603" t="s">
        <v>4</v>
      </c>
      <c r="D603">
        <v>2</v>
      </c>
      <c r="E603">
        <v>2</v>
      </c>
      <c r="F603" t="s">
        <v>10</v>
      </c>
      <c r="G603">
        <f t="shared" si="66"/>
        <v>9</v>
      </c>
      <c r="H603">
        <f t="shared" si="67"/>
        <v>7</v>
      </c>
      <c r="I603">
        <f t="shared" si="68"/>
        <v>16</v>
      </c>
      <c r="J603">
        <f t="shared" si="70"/>
        <v>0</v>
      </c>
      <c r="K603">
        <f t="shared" si="71"/>
        <v>1</v>
      </c>
      <c r="L603">
        <f t="shared" si="69"/>
        <v>0</v>
      </c>
    </row>
    <row r="604" spans="1:12" x14ac:dyDescent="0.25">
      <c r="A604">
        <v>33</v>
      </c>
      <c r="B604" s="1">
        <v>45571</v>
      </c>
      <c r="C604" t="s">
        <v>4</v>
      </c>
      <c r="D604">
        <v>3</v>
      </c>
      <c r="E604">
        <v>4</v>
      </c>
      <c r="F604" t="s">
        <v>11</v>
      </c>
      <c r="G604">
        <f t="shared" si="66"/>
        <v>8</v>
      </c>
      <c r="H604">
        <f t="shared" si="67"/>
        <v>5</v>
      </c>
      <c r="I604">
        <f t="shared" si="68"/>
        <v>13</v>
      </c>
      <c r="J604">
        <f t="shared" si="70"/>
        <v>0</v>
      </c>
      <c r="K604">
        <f t="shared" si="71"/>
        <v>1</v>
      </c>
      <c r="L604">
        <f t="shared" si="69"/>
        <v>-1</v>
      </c>
    </row>
    <row r="605" spans="1:12" x14ac:dyDescent="0.25">
      <c r="A605">
        <v>33</v>
      </c>
      <c r="B605" s="1">
        <v>45571</v>
      </c>
      <c r="C605" t="s">
        <v>4</v>
      </c>
      <c r="D605">
        <v>4</v>
      </c>
      <c r="E605">
        <v>3</v>
      </c>
      <c r="F605" t="s">
        <v>13</v>
      </c>
      <c r="G605">
        <f t="shared" si="66"/>
        <v>7</v>
      </c>
      <c r="H605">
        <f t="shared" si="67"/>
        <v>3</v>
      </c>
      <c r="I605">
        <f t="shared" si="68"/>
        <v>10</v>
      </c>
      <c r="J605">
        <f t="shared" si="70"/>
        <v>0</v>
      </c>
      <c r="K605">
        <f t="shared" si="71"/>
        <v>0</v>
      </c>
      <c r="L605">
        <f t="shared" si="69"/>
        <v>1</v>
      </c>
    </row>
    <row r="606" spans="1:12" x14ac:dyDescent="0.25">
      <c r="A606">
        <v>33</v>
      </c>
      <c r="B606" s="1">
        <v>45571</v>
      </c>
      <c r="C606" t="s">
        <v>4</v>
      </c>
      <c r="D606">
        <v>5</v>
      </c>
      <c r="E606">
        <v>11</v>
      </c>
      <c r="F606" t="s">
        <v>12</v>
      </c>
      <c r="G606">
        <f t="shared" ref="G606:G669" si="72">11-D606</f>
        <v>6</v>
      </c>
      <c r="H606">
        <f t="shared" ref="H606:H669" si="73">IF(D606&lt;6,11-2*D606,0)</f>
        <v>1</v>
      </c>
      <c r="I606">
        <f t="shared" ref="I606:I669" si="74">G606+H606</f>
        <v>7</v>
      </c>
      <c r="J606">
        <f t="shared" si="70"/>
        <v>0</v>
      </c>
      <c r="K606">
        <f t="shared" si="71"/>
        <v>0</v>
      </c>
      <c r="L606">
        <f t="shared" si="69"/>
        <v>-6</v>
      </c>
    </row>
    <row r="607" spans="1:12" x14ac:dyDescent="0.25">
      <c r="A607">
        <v>33</v>
      </c>
      <c r="B607" s="1">
        <v>45571</v>
      </c>
      <c r="C607" t="s">
        <v>4</v>
      </c>
      <c r="D607">
        <v>6</v>
      </c>
      <c r="E607">
        <v>6</v>
      </c>
      <c r="F607" t="s">
        <v>14</v>
      </c>
      <c r="G607">
        <f t="shared" si="72"/>
        <v>5</v>
      </c>
      <c r="H607">
        <f t="shared" si="73"/>
        <v>0</v>
      </c>
      <c r="I607">
        <f t="shared" si="74"/>
        <v>5</v>
      </c>
      <c r="J607">
        <f t="shared" si="70"/>
        <v>0</v>
      </c>
      <c r="K607">
        <f t="shared" si="71"/>
        <v>0</v>
      </c>
      <c r="L607">
        <f t="shared" si="69"/>
        <v>0</v>
      </c>
    </row>
    <row r="608" spans="1:12" x14ac:dyDescent="0.25">
      <c r="A608">
        <v>33</v>
      </c>
      <c r="B608" s="1">
        <v>45571</v>
      </c>
      <c r="C608" t="s">
        <v>4</v>
      </c>
      <c r="D608">
        <v>7</v>
      </c>
      <c r="E608">
        <v>7</v>
      </c>
      <c r="F608" t="s">
        <v>16</v>
      </c>
      <c r="G608">
        <f t="shared" si="72"/>
        <v>4</v>
      </c>
      <c r="H608">
        <f t="shared" si="73"/>
        <v>0</v>
      </c>
      <c r="I608">
        <f t="shared" si="74"/>
        <v>4</v>
      </c>
      <c r="J608">
        <f t="shared" si="70"/>
        <v>0</v>
      </c>
      <c r="K608">
        <f t="shared" si="71"/>
        <v>0</v>
      </c>
      <c r="L608">
        <f t="shared" si="69"/>
        <v>0</v>
      </c>
    </row>
    <row r="609" spans="1:12" x14ac:dyDescent="0.25">
      <c r="A609">
        <v>33</v>
      </c>
      <c r="B609" s="1">
        <v>45571</v>
      </c>
      <c r="C609" t="s">
        <v>4</v>
      </c>
      <c r="D609">
        <v>8</v>
      </c>
      <c r="E609">
        <v>8</v>
      </c>
      <c r="F609" t="s">
        <v>15</v>
      </c>
      <c r="G609">
        <f t="shared" si="72"/>
        <v>3</v>
      </c>
      <c r="H609">
        <f t="shared" si="73"/>
        <v>0</v>
      </c>
      <c r="I609">
        <f t="shared" si="74"/>
        <v>3</v>
      </c>
      <c r="J609">
        <f t="shared" si="70"/>
        <v>0</v>
      </c>
      <c r="K609">
        <f t="shared" si="71"/>
        <v>0</v>
      </c>
      <c r="L609">
        <f t="shared" si="69"/>
        <v>0</v>
      </c>
    </row>
    <row r="610" spans="1:12" x14ac:dyDescent="0.25">
      <c r="A610">
        <v>33</v>
      </c>
      <c r="B610" s="1">
        <v>45571</v>
      </c>
      <c r="C610" t="s">
        <v>4</v>
      </c>
      <c r="D610">
        <v>9</v>
      </c>
      <c r="E610">
        <v>5</v>
      </c>
      <c r="F610" t="s">
        <v>17</v>
      </c>
      <c r="G610">
        <f t="shared" si="72"/>
        <v>2</v>
      </c>
      <c r="H610">
        <f t="shared" si="73"/>
        <v>0</v>
      </c>
      <c r="I610">
        <f t="shared" si="74"/>
        <v>2</v>
      </c>
      <c r="J610">
        <f t="shared" si="70"/>
        <v>0</v>
      </c>
      <c r="K610">
        <f t="shared" si="71"/>
        <v>0</v>
      </c>
      <c r="L610">
        <f t="shared" si="69"/>
        <v>4</v>
      </c>
    </row>
    <row r="611" spans="1:12" x14ac:dyDescent="0.25">
      <c r="A611">
        <v>33</v>
      </c>
      <c r="B611" s="1">
        <v>45571</v>
      </c>
      <c r="C611" t="s">
        <v>4</v>
      </c>
      <c r="D611">
        <v>10</v>
      </c>
      <c r="E611">
        <v>9</v>
      </c>
      <c r="F611" t="s">
        <v>19</v>
      </c>
      <c r="G611">
        <f t="shared" si="72"/>
        <v>1</v>
      </c>
      <c r="H611">
        <f t="shared" si="73"/>
        <v>0</v>
      </c>
      <c r="I611">
        <f t="shared" si="74"/>
        <v>1</v>
      </c>
      <c r="J611">
        <f t="shared" si="70"/>
        <v>0</v>
      </c>
      <c r="K611">
        <f t="shared" si="71"/>
        <v>0</v>
      </c>
      <c r="L611">
        <f t="shared" si="69"/>
        <v>1</v>
      </c>
    </row>
    <row r="612" spans="1:12" x14ac:dyDescent="0.25">
      <c r="A612">
        <v>33</v>
      </c>
      <c r="B612" s="1">
        <v>45571</v>
      </c>
      <c r="C612" t="s">
        <v>29</v>
      </c>
      <c r="D612">
        <v>1</v>
      </c>
      <c r="E612">
        <v>1</v>
      </c>
      <c r="F612" t="s">
        <v>31</v>
      </c>
      <c r="G612">
        <f t="shared" si="72"/>
        <v>10</v>
      </c>
      <c r="H612">
        <f t="shared" si="73"/>
        <v>9</v>
      </c>
      <c r="I612">
        <f t="shared" si="74"/>
        <v>19</v>
      </c>
      <c r="J612">
        <f t="shared" si="70"/>
        <v>1</v>
      </c>
      <c r="K612">
        <f t="shared" si="71"/>
        <v>1</v>
      </c>
      <c r="L612">
        <f t="shared" si="69"/>
        <v>0</v>
      </c>
    </row>
    <row r="613" spans="1:12" x14ac:dyDescent="0.25">
      <c r="A613">
        <v>33</v>
      </c>
      <c r="B613" s="1">
        <v>45571</v>
      </c>
      <c r="C613" t="s">
        <v>29</v>
      </c>
      <c r="D613">
        <v>2</v>
      </c>
      <c r="E613">
        <v>2</v>
      </c>
      <c r="F613" t="s">
        <v>30</v>
      </c>
      <c r="G613">
        <f t="shared" si="72"/>
        <v>9</v>
      </c>
      <c r="H613">
        <f t="shared" si="73"/>
        <v>7</v>
      </c>
      <c r="I613">
        <f t="shared" si="74"/>
        <v>16</v>
      </c>
      <c r="J613">
        <f t="shared" si="70"/>
        <v>0</v>
      </c>
      <c r="K613">
        <f t="shared" si="71"/>
        <v>1</v>
      </c>
      <c r="L613">
        <f t="shared" si="69"/>
        <v>0</v>
      </c>
    </row>
    <row r="614" spans="1:12" x14ac:dyDescent="0.25">
      <c r="A614">
        <v>33</v>
      </c>
      <c r="B614" s="1">
        <v>45571</v>
      </c>
      <c r="C614" t="s">
        <v>29</v>
      </c>
      <c r="D614">
        <v>3</v>
      </c>
      <c r="E614">
        <v>3</v>
      </c>
      <c r="F614" t="s">
        <v>33</v>
      </c>
      <c r="G614">
        <f t="shared" si="72"/>
        <v>8</v>
      </c>
      <c r="H614">
        <f t="shared" si="73"/>
        <v>5</v>
      </c>
      <c r="I614">
        <f t="shared" si="74"/>
        <v>13</v>
      </c>
      <c r="J614">
        <f t="shared" si="70"/>
        <v>0</v>
      </c>
      <c r="K614">
        <f t="shared" si="71"/>
        <v>1</v>
      </c>
      <c r="L614">
        <f t="shared" si="69"/>
        <v>0</v>
      </c>
    </row>
    <row r="615" spans="1:12" x14ac:dyDescent="0.25">
      <c r="A615">
        <v>33</v>
      </c>
      <c r="B615" s="1">
        <v>45571</v>
      </c>
      <c r="C615" t="s">
        <v>29</v>
      </c>
      <c r="D615">
        <v>4</v>
      </c>
      <c r="E615">
        <v>7</v>
      </c>
      <c r="F615" t="s">
        <v>32</v>
      </c>
      <c r="G615">
        <f t="shared" si="72"/>
        <v>7</v>
      </c>
      <c r="H615">
        <f t="shared" si="73"/>
        <v>3</v>
      </c>
      <c r="I615">
        <f t="shared" si="74"/>
        <v>10</v>
      </c>
      <c r="J615">
        <f t="shared" si="70"/>
        <v>0</v>
      </c>
      <c r="K615">
        <f t="shared" si="71"/>
        <v>0</v>
      </c>
      <c r="L615">
        <f t="shared" si="69"/>
        <v>-3</v>
      </c>
    </row>
    <row r="616" spans="1:12" x14ac:dyDescent="0.25">
      <c r="A616">
        <v>33</v>
      </c>
      <c r="B616" s="1">
        <v>45571</v>
      </c>
      <c r="C616" t="s">
        <v>29</v>
      </c>
      <c r="D616">
        <v>5</v>
      </c>
      <c r="E616">
        <v>4</v>
      </c>
      <c r="F616" t="s">
        <v>36</v>
      </c>
      <c r="G616">
        <f t="shared" si="72"/>
        <v>6</v>
      </c>
      <c r="H616">
        <f t="shared" si="73"/>
        <v>1</v>
      </c>
      <c r="I616">
        <f t="shared" si="74"/>
        <v>7</v>
      </c>
      <c r="J616">
        <f t="shared" si="70"/>
        <v>0</v>
      </c>
      <c r="K616">
        <f t="shared" si="71"/>
        <v>0</v>
      </c>
      <c r="L616">
        <f t="shared" si="69"/>
        <v>1</v>
      </c>
    </row>
    <row r="617" spans="1:12" x14ac:dyDescent="0.25">
      <c r="A617">
        <v>33</v>
      </c>
      <c r="B617" s="1">
        <v>45571</v>
      </c>
      <c r="C617" t="s">
        <v>29</v>
      </c>
      <c r="D617">
        <v>6</v>
      </c>
      <c r="E617">
        <v>9</v>
      </c>
      <c r="F617" t="s">
        <v>34</v>
      </c>
      <c r="G617">
        <f t="shared" si="72"/>
        <v>5</v>
      </c>
      <c r="H617">
        <f t="shared" si="73"/>
        <v>0</v>
      </c>
      <c r="I617">
        <f t="shared" si="74"/>
        <v>5</v>
      </c>
      <c r="J617">
        <f t="shared" si="70"/>
        <v>0</v>
      </c>
      <c r="K617">
        <f t="shared" si="71"/>
        <v>0</v>
      </c>
      <c r="L617">
        <f t="shared" si="69"/>
        <v>-3</v>
      </c>
    </row>
    <row r="618" spans="1:12" x14ac:dyDescent="0.25">
      <c r="A618">
        <v>33</v>
      </c>
      <c r="B618" s="1">
        <v>45571</v>
      </c>
      <c r="C618" t="s">
        <v>29</v>
      </c>
      <c r="D618">
        <v>7</v>
      </c>
      <c r="E618">
        <v>11</v>
      </c>
      <c r="F618" t="s">
        <v>35</v>
      </c>
      <c r="G618">
        <f t="shared" si="72"/>
        <v>4</v>
      </c>
      <c r="H618">
        <f t="shared" si="73"/>
        <v>0</v>
      </c>
      <c r="I618">
        <f t="shared" si="74"/>
        <v>4</v>
      </c>
      <c r="J618">
        <f t="shared" si="70"/>
        <v>0</v>
      </c>
      <c r="K618">
        <f t="shared" si="71"/>
        <v>0</v>
      </c>
      <c r="L618">
        <f t="shared" si="69"/>
        <v>-4</v>
      </c>
    </row>
    <row r="619" spans="1:12" x14ac:dyDescent="0.25">
      <c r="A619">
        <v>33</v>
      </c>
      <c r="B619" s="1">
        <v>45571</v>
      </c>
      <c r="C619" t="s">
        <v>29</v>
      </c>
      <c r="D619">
        <v>8</v>
      </c>
      <c r="E619">
        <v>5</v>
      </c>
      <c r="F619" t="s">
        <v>39</v>
      </c>
      <c r="G619">
        <f t="shared" si="72"/>
        <v>3</v>
      </c>
      <c r="H619">
        <f t="shared" si="73"/>
        <v>0</v>
      </c>
      <c r="I619">
        <f t="shared" si="74"/>
        <v>3</v>
      </c>
      <c r="J619">
        <f t="shared" si="70"/>
        <v>0</v>
      </c>
      <c r="K619">
        <f t="shared" si="71"/>
        <v>0</v>
      </c>
      <c r="L619">
        <f t="shared" si="69"/>
        <v>3</v>
      </c>
    </row>
    <row r="620" spans="1:12" x14ac:dyDescent="0.25">
      <c r="A620">
        <v>33</v>
      </c>
      <c r="B620" s="1">
        <v>45571</v>
      </c>
      <c r="C620" t="s">
        <v>29</v>
      </c>
      <c r="D620">
        <v>9</v>
      </c>
      <c r="E620">
        <v>6</v>
      </c>
      <c r="F620" t="s">
        <v>38</v>
      </c>
      <c r="G620">
        <f t="shared" si="72"/>
        <v>2</v>
      </c>
      <c r="H620">
        <f t="shared" si="73"/>
        <v>0</v>
      </c>
      <c r="I620">
        <f t="shared" si="74"/>
        <v>2</v>
      </c>
      <c r="J620">
        <f t="shared" si="70"/>
        <v>0</v>
      </c>
      <c r="K620">
        <f t="shared" si="71"/>
        <v>0</v>
      </c>
      <c r="L620">
        <f t="shared" si="69"/>
        <v>3</v>
      </c>
    </row>
    <row r="621" spans="1:12" x14ac:dyDescent="0.25">
      <c r="A621">
        <v>33</v>
      </c>
      <c r="B621" s="1">
        <v>45571</v>
      </c>
      <c r="C621" t="s">
        <v>29</v>
      </c>
      <c r="D621">
        <v>10</v>
      </c>
      <c r="E621">
        <v>8</v>
      </c>
      <c r="F621" t="s">
        <v>40</v>
      </c>
      <c r="G621">
        <f t="shared" si="72"/>
        <v>1</v>
      </c>
      <c r="H621">
        <f t="shared" si="73"/>
        <v>0</v>
      </c>
      <c r="I621">
        <f t="shared" si="74"/>
        <v>1</v>
      </c>
      <c r="J621">
        <f t="shared" si="70"/>
        <v>0</v>
      </c>
      <c r="K621">
        <f t="shared" si="71"/>
        <v>0</v>
      </c>
      <c r="L621">
        <f t="shared" si="69"/>
        <v>2</v>
      </c>
    </row>
    <row r="622" spans="1:12" x14ac:dyDescent="0.25">
      <c r="A622">
        <v>34</v>
      </c>
      <c r="B622" s="1">
        <v>45599</v>
      </c>
      <c r="C622" t="s">
        <v>4</v>
      </c>
      <c r="D622">
        <v>1</v>
      </c>
      <c r="E622">
        <v>1</v>
      </c>
      <c r="F622" t="s">
        <v>9</v>
      </c>
      <c r="G622">
        <f t="shared" si="72"/>
        <v>10</v>
      </c>
      <c r="H622">
        <f t="shared" si="73"/>
        <v>9</v>
      </c>
      <c r="I622">
        <f t="shared" si="74"/>
        <v>19</v>
      </c>
      <c r="J622">
        <f t="shared" si="70"/>
        <v>1</v>
      </c>
      <c r="K622">
        <f t="shared" si="71"/>
        <v>1</v>
      </c>
      <c r="L622">
        <f t="shared" si="69"/>
        <v>0</v>
      </c>
    </row>
    <row r="623" spans="1:12" x14ac:dyDescent="0.25">
      <c r="A623">
        <v>34</v>
      </c>
      <c r="B623" s="1">
        <v>45599</v>
      </c>
      <c r="C623" t="s">
        <v>4</v>
      </c>
      <c r="D623">
        <v>2</v>
      </c>
      <c r="E623">
        <v>2</v>
      </c>
      <c r="F623" t="s">
        <v>10</v>
      </c>
      <c r="G623">
        <f t="shared" si="72"/>
        <v>9</v>
      </c>
      <c r="H623">
        <f t="shared" si="73"/>
        <v>7</v>
      </c>
      <c r="I623">
        <f t="shared" si="74"/>
        <v>16</v>
      </c>
      <c r="J623">
        <f t="shared" si="70"/>
        <v>0</v>
      </c>
      <c r="K623">
        <f t="shared" si="71"/>
        <v>1</v>
      </c>
      <c r="L623">
        <f t="shared" si="69"/>
        <v>0</v>
      </c>
    </row>
    <row r="624" spans="1:12" x14ac:dyDescent="0.25">
      <c r="A624">
        <v>34</v>
      </c>
      <c r="B624" s="1">
        <v>45599</v>
      </c>
      <c r="C624" t="s">
        <v>4</v>
      </c>
      <c r="D624">
        <v>3</v>
      </c>
      <c r="E624">
        <v>3</v>
      </c>
      <c r="F624" t="s">
        <v>11</v>
      </c>
      <c r="G624">
        <f t="shared" si="72"/>
        <v>8</v>
      </c>
      <c r="H624">
        <f t="shared" si="73"/>
        <v>5</v>
      </c>
      <c r="I624">
        <f t="shared" si="74"/>
        <v>13</v>
      </c>
      <c r="J624">
        <f t="shared" si="70"/>
        <v>0</v>
      </c>
      <c r="K624">
        <f t="shared" si="71"/>
        <v>1</v>
      </c>
      <c r="L624">
        <f t="shared" si="69"/>
        <v>0</v>
      </c>
    </row>
    <row r="625" spans="1:12" x14ac:dyDescent="0.25">
      <c r="A625">
        <v>34</v>
      </c>
      <c r="B625" s="1">
        <v>45599</v>
      </c>
      <c r="C625" t="s">
        <v>4</v>
      </c>
      <c r="D625">
        <v>4</v>
      </c>
      <c r="E625">
        <v>5</v>
      </c>
      <c r="F625" t="s">
        <v>12</v>
      </c>
      <c r="G625">
        <f t="shared" si="72"/>
        <v>7</v>
      </c>
      <c r="H625">
        <f t="shared" si="73"/>
        <v>3</v>
      </c>
      <c r="I625">
        <f t="shared" si="74"/>
        <v>10</v>
      </c>
      <c r="J625">
        <f t="shared" si="70"/>
        <v>0</v>
      </c>
      <c r="K625">
        <f t="shared" si="71"/>
        <v>0</v>
      </c>
      <c r="L625">
        <f t="shared" si="69"/>
        <v>-1</v>
      </c>
    </row>
    <row r="626" spans="1:12" x14ac:dyDescent="0.25">
      <c r="A626">
        <v>34</v>
      </c>
      <c r="B626" s="1">
        <v>45599</v>
      </c>
      <c r="C626" t="s">
        <v>4</v>
      </c>
      <c r="D626">
        <v>5</v>
      </c>
      <c r="E626">
        <v>4</v>
      </c>
      <c r="F626" t="s">
        <v>13</v>
      </c>
      <c r="G626">
        <f t="shared" si="72"/>
        <v>6</v>
      </c>
      <c r="H626">
        <f t="shared" si="73"/>
        <v>1</v>
      </c>
      <c r="I626">
        <f t="shared" si="74"/>
        <v>7</v>
      </c>
      <c r="J626">
        <f t="shared" si="70"/>
        <v>0</v>
      </c>
      <c r="K626">
        <f t="shared" si="71"/>
        <v>0</v>
      </c>
      <c r="L626">
        <f t="shared" si="69"/>
        <v>1</v>
      </c>
    </row>
    <row r="627" spans="1:12" x14ac:dyDescent="0.25">
      <c r="A627">
        <v>34</v>
      </c>
      <c r="B627" s="1">
        <v>45599</v>
      </c>
      <c r="C627" t="s">
        <v>4</v>
      </c>
      <c r="D627">
        <v>6</v>
      </c>
      <c r="E627">
        <v>6</v>
      </c>
      <c r="F627" t="s">
        <v>14</v>
      </c>
      <c r="G627">
        <f t="shared" si="72"/>
        <v>5</v>
      </c>
      <c r="H627">
        <f t="shared" si="73"/>
        <v>0</v>
      </c>
      <c r="I627">
        <f t="shared" si="74"/>
        <v>5</v>
      </c>
      <c r="J627">
        <f t="shared" si="70"/>
        <v>0</v>
      </c>
      <c r="K627">
        <f t="shared" si="71"/>
        <v>0</v>
      </c>
      <c r="L627">
        <f t="shared" si="69"/>
        <v>0</v>
      </c>
    </row>
    <row r="628" spans="1:12" x14ac:dyDescent="0.25">
      <c r="A628">
        <v>34</v>
      </c>
      <c r="B628" s="1">
        <v>45599</v>
      </c>
      <c r="C628" t="s">
        <v>4</v>
      </c>
      <c r="D628">
        <v>7</v>
      </c>
      <c r="E628">
        <v>8</v>
      </c>
      <c r="F628" t="s">
        <v>15</v>
      </c>
      <c r="G628">
        <f t="shared" si="72"/>
        <v>4</v>
      </c>
      <c r="H628">
        <f t="shared" si="73"/>
        <v>0</v>
      </c>
      <c r="I628">
        <f t="shared" si="74"/>
        <v>4</v>
      </c>
      <c r="J628">
        <f t="shared" si="70"/>
        <v>0</v>
      </c>
      <c r="K628">
        <f t="shared" si="71"/>
        <v>0</v>
      </c>
      <c r="L628">
        <f t="shared" si="69"/>
        <v>-1</v>
      </c>
    </row>
    <row r="629" spans="1:12" x14ac:dyDescent="0.25">
      <c r="A629">
        <v>34</v>
      </c>
      <c r="B629" s="1">
        <v>45599</v>
      </c>
      <c r="C629" t="s">
        <v>4</v>
      </c>
      <c r="D629">
        <v>8</v>
      </c>
      <c r="E629">
        <v>7</v>
      </c>
      <c r="F629" t="s">
        <v>16</v>
      </c>
      <c r="G629">
        <f t="shared" si="72"/>
        <v>3</v>
      </c>
      <c r="H629">
        <f t="shared" si="73"/>
        <v>0</v>
      </c>
      <c r="I629">
        <f t="shared" si="74"/>
        <v>3</v>
      </c>
      <c r="J629">
        <f t="shared" si="70"/>
        <v>0</v>
      </c>
      <c r="K629">
        <f t="shared" si="71"/>
        <v>0</v>
      </c>
      <c r="L629">
        <f t="shared" si="69"/>
        <v>1</v>
      </c>
    </row>
    <row r="630" spans="1:12" x14ac:dyDescent="0.25">
      <c r="A630">
        <v>34</v>
      </c>
      <c r="B630" s="1">
        <v>45599</v>
      </c>
      <c r="C630" t="s">
        <v>4</v>
      </c>
      <c r="D630">
        <v>9</v>
      </c>
      <c r="E630">
        <v>9</v>
      </c>
      <c r="F630" t="s">
        <v>17</v>
      </c>
      <c r="G630">
        <f t="shared" si="72"/>
        <v>2</v>
      </c>
      <c r="H630">
        <f t="shared" si="73"/>
        <v>0</v>
      </c>
      <c r="I630">
        <f t="shared" si="74"/>
        <v>2</v>
      </c>
      <c r="J630">
        <f t="shared" si="70"/>
        <v>0</v>
      </c>
      <c r="K630">
        <f t="shared" si="71"/>
        <v>0</v>
      </c>
      <c r="L630">
        <f t="shared" si="69"/>
        <v>0</v>
      </c>
    </row>
    <row r="631" spans="1:12" x14ac:dyDescent="0.25">
      <c r="A631">
        <v>34</v>
      </c>
      <c r="B631" s="1">
        <v>45599</v>
      </c>
      <c r="C631" t="s">
        <v>4</v>
      </c>
      <c r="D631">
        <v>10</v>
      </c>
      <c r="E631">
        <v>11</v>
      </c>
      <c r="F631" t="s">
        <v>18</v>
      </c>
      <c r="G631">
        <f t="shared" si="72"/>
        <v>1</v>
      </c>
      <c r="H631">
        <f t="shared" si="73"/>
        <v>0</v>
      </c>
      <c r="I631">
        <f t="shared" si="74"/>
        <v>1</v>
      </c>
      <c r="J631">
        <f t="shared" si="70"/>
        <v>0</v>
      </c>
      <c r="K631">
        <f t="shared" si="71"/>
        <v>0</v>
      </c>
      <c r="L631">
        <f t="shared" si="69"/>
        <v>-1</v>
      </c>
    </row>
    <row r="632" spans="1:12" x14ac:dyDescent="0.25">
      <c r="A632">
        <v>34</v>
      </c>
      <c r="B632" s="1">
        <v>45599</v>
      </c>
      <c r="C632" t="s">
        <v>29</v>
      </c>
      <c r="D632">
        <v>1</v>
      </c>
      <c r="E632">
        <v>2</v>
      </c>
      <c r="F632" t="s">
        <v>30</v>
      </c>
      <c r="G632">
        <f t="shared" si="72"/>
        <v>10</v>
      </c>
      <c r="H632">
        <f t="shared" si="73"/>
        <v>9</v>
      </c>
      <c r="I632">
        <f t="shared" si="74"/>
        <v>19</v>
      </c>
      <c r="J632">
        <f t="shared" si="70"/>
        <v>1</v>
      </c>
      <c r="K632">
        <f t="shared" si="71"/>
        <v>1</v>
      </c>
      <c r="L632">
        <f t="shared" si="69"/>
        <v>-1</v>
      </c>
    </row>
    <row r="633" spans="1:12" x14ac:dyDescent="0.25">
      <c r="A633">
        <v>34</v>
      </c>
      <c r="B633" s="1">
        <v>45599</v>
      </c>
      <c r="C633" t="s">
        <v>29</v>
      </c>
      <c r="D633">
        <v>2</v>
      </c>
      <c r="E633">
        <v>1</v>
      </c>
      <c r="F633" t="s">
        <v>31</v>
      </c>
      <c r="G633">
        <f t="shared" si="72"/>
        <v>9</v>
      </c>
      <c r="H633">
        <f t="shared" si="73"/>
        <v>7</v>
      </c>
      <c r="I633">
        <f t="shared" si="74"/>
        <v>16</v>
      </c>
      <c r="J633">
        <f t="shared" si="70"/>
        <v>0</v>
      </c>
      <c r="K633">
        <f t="shared" si="71"/>
        <v>1</v>
      </c>
      <c r="L633">
        <f t="shared" si="69"/>
        <v>1</v>
      </c>
    </row>
    <row r="634" spans="1:12" x14ac:dyDescent="0.25">
      <c r="A634">
        <v>34</v>
      </c>
      <c r="B634" s="1">
        <v>45599</v>
      </c>
      <c r="C634" t="s">
        <v>29</v>
      </c>
      <c r="D634">
        <v>3</v>
      </c>
      <c r="E634">
        <v>4</v>
      </c>
      <c r="F634" t="s">
        <v>32</v>
      </c>
      <c r="G634">
        <f t="shared" si="72"/>
        <v>8</v>
      </c>
      <c r="H634">
        <f t="shared" si="73"/>
        <v>5</v>
      </c>
      <c r="I634">
        <f t="shared" si="74"/>
        <v>13</v>
      </c>
      <c r="J634">
        <f t="shared" si="70"/>
        <v>0</v>
      </c>
      <c r="K634">
        <f t="shared" si="71"/>
        <v>1</v>
      </c>
      <c r="L634">
        <f t="shared" si="69"/>
        <v>-1</v>
      </c>
    </row>
    <row r="635" spans="1:12" x14ac:dyDescent="0.25">
      <c r="A635">
        <v>34</v>
      </c>
      <c r="B635" s="1">
        <v>45599</v>
      </c>
      <c r="C635" t="s">
        <v>29</v>
      </c>
      <c r="D635">
        <v>4</v>
      </c>
      <c r="E635">
        <v>3</v>
      </c>
      <c r="F635" t="s">
        <v>33</v>
      </c>
      <c r="G635">
        <f t="shared" si="72"/>
        <v>7</v>
      </c>
      <c r="H635">
        <f t="shared" si="73"/>
        <v>3</v>
      </c>
      <c r="I635">
        <f t="shared" si="74"/>
        <v>10</v>
      </c>
      <c r="J635">
        <f t="shared" si="70"/>
        <v>0</v>
      </c>
      <c r="K635">
        <f t="shared" si="71"/>
        <v>0</v>
      </c>
      <c r="L635">
        <f t="shared" si="69"/>
        <v>1</v>
      </c>
    </row>
    <row r="636" spans="1:12" x14ac:dyDescent="0.25">
      <c r="A636">
        <v>34</v>
      </c>
      <c r="B636" s="1">
        <v>45599</v>
      </c>
      <c r="C636" t="s">
        <v>29</v>
      </c>
      <c r="D636">
        <v>5</v>
      </c>
      <c r="E636">
        <v>6</v>
      </c>
      <c r="F636" t="s">
        <v>34</v>
      </c>
      <c r="G636">
        <f t="shared" si="72"/>
        <v>6</v>
      </c>
      <c r="H636">
        <f t="shared" si="73"/>
        <v>1</v>
      </c>
      <c r="I636">
        <f t="shared" si="74"/>
        <v>7</v>
      </c>
      <c r="J636">
        <f t="shared" si="70"/>
        <v>0</v>
      </c>
      <c r="K636">
        <f t="shared" si="71"/>
        <v>0</v>
      </c>
      <c r="L636">
        <f t="shared" si="69"/>
        <v>-1</v>
      </c>
    </row>
    <row r="637" spans="1:12" x14ac:dyDescent="0.25">
      <c r="A637">
        <v>34</v>
      </c>
      <c r="B637" s="1">
        <v>45599</v>
      </c>
      <c r="C637" t="s">
        <v>29</v>
      </c>
      <c r="D637">
        <v>6</v>
      </c>
      <c r="E637">
        <v>7</v>
      </c>
      <c r="F637" t="s">
        <v>35</v>
      </c>
      <c r="G637">
        <f t="shared" si="72"/>
        <v>5</v>
      </c>
      <c r="H637">
        <f t="shared" si="73"/>
        <v>0</v>
      </c>
      <c r="I637">
        <f t="shared" si="74"/>
        <v>5</v>
      </c>
      <c r="J637">
        <f t="shared" si="70"/>
        <v>0</v>
      </c>
      <c r="K637">
        <f t="shared" si="71"/>
        <v>0</v>
      </c>
      <c r="L637">
        <f t="shared" si="69"/>
        <v>-1</v>
      </c>
    </row>
    <row r="638" spans="1:12" x14ac:dyDescent="0.25">
      <c r="A638">
        <v>34</v>
      </c>
      <c r="B638" s="1">
        <v>45599</v>
      </c>
      <c r="C638" t="s">
        <v>29</v>
      </c>
      <c r="D638">
        <v>7</v>
      </c>
      <c r="E638">
        <v>5</v>
      </c>
      <c r="F638" t="s">
        <v>36</v>
      </c>
      <c r="G638">
        <f t="shared" si="72"/>
        <v>4</v>
      </c>
      <c r="H638">
        <f t="shared" si="73"/>
        <v>0</v>
      </c>
      <c r="I638">
        <f t="shared" si="74"/>
        <v>4</v>
      </c>
      <c r="J638">
        <f t="shared" si="70"/>
        <v>0</v>
      </c>
      <c r="K638">
        <f t="shared" si="71"/>
        <v>0</v>
      </c>
      <c r="L638">
        <f t="shared" si="69"/>
        <v>2</v>
      </c>
    </row>
    <row r="639" spans="1:12" x14ac:dyDescent="0.25">
      <c r="A639">
        <v>34</v>
      </c>
      <c r="B639" s="1">
        <v>45599</v>
      </c>
      <c r="C639" t="s">
        <v>29</v>
      </c>
      <c r="D639">
        <v>8</v>
      </c>
      <c r="E639">
        <v>11</v>
      </c>
      <c r="F639" t="s">
        <v>37</v>
      </c>
      <c r="G639">
        <f t="shared" si="72"/>
        <v>3</v>
      </c>
      <c r="H639">
        <f t="shared" si="73"/>
        <v>0</v>
      </c>
      <c r="I639">
        <f t="shared" si="74"/>
        <v>3</v>
      </c>
      <c r="J639">
        <f t="shared" si="70"/>
        <v>0</v>
      </c>
      <c r="K639">
        <f t="shared" si="71"/>
        <v>0</v>
      </c>
      <c r="L639">
        <f t="shared" si="69"/>
        <v>-3</v>
      </c>
    </row>
    <row r="640" spans="1:12" x14ac:dyDescent="0.25">
      <c r="A640">
        <v>34</v>
      </c>
      <c r="B640" s="1">
        <v>45599</v>
      </c>
      <c r="C640" t="s">
        <v>29</v>
      </c>
      <c r="D640">
        <v>9</v>
      </c>
      <c r="E640">
        <v>9</v>
      </c>
      <c r="F640" t="s">
        <v>38</v>
      </c>
      <c r="G640">
        <f t="shared" si="72"/>
        <v>2</v>
      </c>
      <c r="H640">
        <f t="shared" si="73"/>
        <v>0</v>
      </c>
      <c r="I640">
        <f t="shared" si="74"/>
        <v>2</v>
      </c>
      <c r="J640">
        <f t="shared" si="70"/>
        <v>0</v>
      </c>
      <c r="K640">
        <f t="shared" si="71"/>
        <v>0</v>
      </c>
      <c r="L640">
        <f t="shared" si="69"/>
        <v>0</v>
      </c>
    </row>
    <row r="641" spans="1:12" x14ac:dyDescent="0.25">
      <c r="A641">
        <v>34</v>
      </c>
      <c r="B641" s="1">
        <v>45599</v>
      </c>
      <c r="C641" t="s">
        <v>29</v>
      </c>
      <c r="D641">
        <v>10</v>
      </c>
      <c r="E641">
        <v>8</v>
      </c>
      <c r="F641" t="s">
        <v>39</v>
      </c>
      <c r="G641">
        <f t="shared" si="72"/>
        <v>1</v>
      </c>
      <c r="H641">
        <f t="shared" si="73"/>
        <v>0</v>
      </c>
      <c r="I641">
        <f t="shared" si="74"/>
        <v>1</v>
      </c>
      <c r="J641">
        <f t="shared" si="70"/>
        <v>0</v>
      </c>
      <c r="K641">
        <f t="shared" si="71"/>
        <v>0</v>
      </c>
      <c r="L641">
        <f t="shared" si="69"/>
        <v>2</v>
      </c>
    </row>
    <row r="642" spans="1:12" x14ac:dyDescent="0.25">
      <c r="A642">
        <v>35</v>
      </c>
      <c r="B642" s="1">
        <v>45606</v>
      </c>
      <c r="C642" t="s">
        <v>4</v>
      </c>
      <c r="D642">
        <v>1</v>
      </c>
      <c r="E642">
        <v>2</v>
      </c>
      <c r="F642" t="s">
        <v>10</v>
      </c>
      <c r="G642">
        <f t="shared" si="72"/>
        <v>10</v>
      </c>
      <c r="H642">
        <f t="shared" si="73"/>
        <v>9</v>
      </c>
      <c r="I642">
        <f t="shared" si="74"/>
        <v>19</v>
      </c>
      <c r="J642">
        <f t="shared" si="70"/>
        <v>1</v>
      </c>
      <c r="K642">
        <f t="shared" si="71"/>
        <v>1</v>
      </c>
      <c r="L642">
        <f t="shared" si="69"/>
        <v>-1</v>
      </c>
    </row>
    <row r="643" spans="1:12" x14ac:dyDescent="0.25">
      <c r="A643">
        <v>35</v>
      </c>
      <c r="B643" s="1">
        <v>45606</v>
      </c>
      <c r="C643" t="s">
        <v>4</v>
      </c>
      <c r="D643">
        <v>2</v>
      </c>
      <c r="E643">
        <v>1</v>
      </c>
      <c r="F643" t="s">
        <v>9</v>
      </c>
      <c r="G643">
        <f t="shared" si="72"/>
        <v>9</v>
      </c>
      <c r="H643">
        <f t="shared" si="73"/>
        <v>7</v>
      </c>
      <c r="I643">
        <f t="shared" si="74"/>
        <v>16</v>
      </c>
      <c r="J643">
        <f t="shared" si="70"/>
        <v>0</v>
      </c>
      <c r="K643">
        <f t="shared" si="71"/>
        <v>1</v>
      </c>
      <c r="L643">
        <f t="shared" ref="L643:L701" si="75">D643-E643</f>
        <v>1</v>
      </c>
    </row>
    <row r="644" spans="1:12" x14ac:dyDescent="0.25">
      <c r="A644">
        <v>35</v>
      </c>
      <c r="B644" s="1">
        <v>45606</v>
      </c>
      <c r="C644" t="s">
        <v>4</v>
      </c>
      <c r="D644">
        <v>3</v>
      </c>
      <c r="E644">
        <v>4</v>
      </c>
      <c r="F644" t="s">
        <v>12</v>
      </c>
      <c r="G644">
        <f t="shared" si="72"/>
        <v>8</v>
      </c>
      <c r="H644">
        <f t="shared" si="73"/>
        <v>5</v>
      </c>
      <c r="I644">
        <f t="shared" si="74"/>
        <v>13</v>
      </c>
      <c r="J644">
        <f t="shared" si="70"/>
        <v>0</v>
      </c>
      <c r="K644">
        <f t="shared" si="71"/>
        <v>1</v>
      </c>
      <c r="L644">
        <f t="shared" si="75"/>
        <v>-1</v>
      </c>
    </row>
    <row r="645" spans="1:12" x14ac:dyDescent="0.25">
      <c r="A645">
        <v>35</v>
      </c>
      <c r="B645" s="1">
        <v>45606</v>
      </c>
      <c r="C645" t="s">
        <v>4</v>
      </c>
      <c r="D645">
        <v>4</v>
      </c>
      <c r="E645">
        <v>3</v>
      </c>
      <c r="F645" t="s">
        <v>11</v>
      </c>
      <c r="G645">
        <f t="shared" si="72"/>
        <v>7</v>
      </c>
      <c r="H645">
        <f t="shared" si="73"/>
        <v>3</v>
      </c>
      <c r="I645">
        <f t="shared" si="74"/>
        <v>10</v>
      </c>
      <c r="J645">
        <f t="shared" si="70"/>
        <v>0</v>
      </c>
      <c r="K645">
        <f t="shared" si="71"/>
        <v>0</v>
      </c>
      <c r="L645">
        <f t="shared" si="75"/>
        <v>1</v>
      </c>
    </row>
    <row r="646" spans="1:12" x14ac:dyDescent="0.25">
      <c r="A646">
        <v>35</v>
      </c>
      <c r="B646" s="1">
        <v>45606</v>
      </c>
      <c r="C646" t="s">
        <v>4</v>
      </c>
      <c r="D646">
        <v>5</v>
      </c>
      <c r="E646">
        <v>6</v>
      </c>
      <c r="F646" t="s">
        <v>14</v>
      </c>
      <c r="G646">
        <f t="shared" si="72"/>
        <v>6</v>
      </c>
      <c r="H646">
        <f t="shared" si="73"/>
        <v>1</v>
      </c>
      <c r="I646">
        <f t="shared" si="74"/>
        <v>7</v>
      </c>
      <c r="J646">
        <f t="shared" si="70"/>
        <v>0</v>
      </c>
      <c r="K646">
        <f t="shared" si="71"/>
        <v>0</v>
      </c>
      <c r="L646">
        <f t="shared" si="75"/>
        <v>-1</v>
      </c>
    </row>
    <row r="647" spans="1:12" x14ac:dyDescent="0.25">
      <c r="A647">
        <v>35</v>
      </c>
      <c r="B647" s="1">
        <v>45606</v>
      </c>
      <c r="C647" t="s">
        <v>4</v>
      </c>
      <c r="D647">
        <v>6</v>
      </c>
      <c r="E647">
        <v>7</v>
      </c>
      <c r="F647" t="s">
        <v>15</v>
      </c>
      <c r="G647">
        <f t="shared" si="72"/>
        <v>5</v>
      </c>
      <c r="H647">
        <f t="shared" si="73"/>
        <v>0</v>
      </c>
      <c r="I647">
        <f t="shared" si="74"/>
        <v>5</v>
      </c>
      <c r="J647">
        <f t="shared" si="70"/>
        <v>0</v>
      </c>
      <c r="K647">
        <f t="shared" si="71"/>
        <v>0</v>
      </c>
      <c r="L647">
        <f t="shared" si="75"/>
        <v>-1</v>
      </c>
    </row>
    <row r="648" spans="1:12" x14ac:dyDescent="0.25">
      <c r="A648">
        <v>35</v>
      </c>
      <c r="B648" s="1">
        <v>45606</v>
      </c>
      <c r="C648" t="s">
        <v>4</v>
      </c>
      <c r="D648">
        <v>7</v>
      </c>
      <c r="E648">
        <v>5</v>
      </c>
      <c r="F648" t="s">
        <v>13</v>
      </c>
      <c r="G648">
        <f t="shared" si="72"/>
        <v>4</v>
      </c>
      <c r="H648">
        <f t="shared" si="73"/>
        <v>0</v>
      </c>
      <c r="I648">
        <f t="shared" si="74"/>
        <v>4</v>
      </c>
      <c r="J648">
        <f t="shared" si="70"/>
        <v>0</v>
      </c>
      <c r="K648">
        <f t="shared" si="71"/>
        <v>0</v>
      </c>
      <c r="L648">
        <f t="shared" si="75"/>
        <v>2</v>
      </c>
    </row>
    <row r="649" spans="1:12" x14ac:dyDescent="0.25">
      <c r="A649">
        <v>35</v>
      </c>
      <c r="B649" s="1">
        <v>45606</v>
      </c>
      <c r="C649" t="s">
        <v>4</v>
      </c>
      <c r="D649">
        <v>8</v>
      </c>
      <c r="E649">
        <v>10</v>
      </c>
      <c r="F649" t="s">
        <v>18</v>
      </c>
      <c r="G649">
        <f t="shared" si="72"/>
        <v>3</v>
      </c>
      <c r="H649">
        <f t="shared" si="73"/>
        <v>0</v>
      </c>
      <c r="I649">
        <f t="shared" si="74"/>
        <v>3</v>
      </c>
      <c r="J649">
        <f t="shared" si="70"/>
        <v>0</v>
      </c>
      <c r="K649">
        <f t="shared" si="71"/>
        <v>0</v>
      </c>
      <c r="L649">
        <f t="shared" si="75"/>
        <v>-2</v>
      </c>
    </row>
    <row r="650" spans="1:12" x14ac:dyDescent="0.25">
      <c r="A650">
        <v>35</v>
      </c>
      <c r="B650" s="1">
        <v>45606</v>
      </c>
      <c r="C650" t="s">
        <v>4</v>
      </c>
      <c r="D650">
        <v>9</v>
      </c>
      <c r="E650">
        <v>8</v>
      </c>
      <c r="F650" t="s">
        <v>16</v>
      </c>
      <c r="G650">
        <f t="shared" si="72"/>
        <v>2</v>
      </c>
      <c r="H650">
        <f t="shared" si="73"/>
        <v>0</v>
      </c>
      <c r="I650">
        <f t="shared" si="74"/>
        <v>2</v>
      </c>
      <c r="J650">
        <f t="shared" si="70"/>
        <v>0</v>
      </c>
      <c r="K650">
        <f t="shared" si="71"/>
        <v>0</v>
      </c>
      <c r="L650">
        <f t="shared" si="75"/>
        <v>1</v>
      </c>
    </row>
    <row r="651" spans="1:12" x14ac:dyDescent="0.25">
      <c r="A651">
        <v>35</v>
      </c>
      <c r="B651" s="1">
        <v>45606</v>
      </c>
      <c r="C651" t="s">
        <v>4</v>
      </c>
      <c r="D651">
        <v>10</v>
      </c>
      <c r="E651">
        <v>9</v>
      </c>
      <c r="F651" t="s">
        <v>17</v>
      </c>
      <c r="G651">
        <f t="shared" si="72"/>
        <v>1</v>
      </c>
      <c r="H651">
        <f t="shared" si="73"/>
        <v>0</v>
      </c>
      <c r="I651">
        <f t="shared" si="74"/>
        <v>1</v>
      </c>
      <c r="J651">
        <f t="shared" si="70"/>
        <v>0</v>
      </c>
      <c r="K651">
        <f t="shared" si="71"/>
        <v>0</v>
      </c>
      <c r="L651">
        <f t="shared" si="75"/>
        <v>1</v>
      </c>
    </row>
    <row r="652" spans="1:12" x14ac:dyDescent="0.25">
      <c r="A652">
        <v>35</v>
      </c>
      <c r="B652" s="1">
        <v>45606</v>
      </c>
      <c r="C652" t="s">
        <v>29</v>
      </c>
      <c r="D652">
        <v>1</v>
      </c>
      <c r="E652">
        <v>1</v>
      </c>
      <c r="F652" t="s">
        <v>30</v>
      </c>
      <c r="G652">
        <f t="shared" si="72"/>
        <v>10</v>
      </c>
      <c r="H652">
        <f t="shared" si="73"/>
        <v>9</v>
      </c>
      <c r="I652">
        <f t="shared" si="74"/>
        <v>19</v>
      </c>
      <c r="J652">
        <f t="shared" si="70"/>
        <v>1</v>
      </c>
      <c r="K652">
        <f t="shared" si="71"/>
        <v>1</v>
      </c>
      <c r="L652">
        <f t="shared" si="75"/>
        <v>0</v>
      </c>
    </row>
    <row r="653" spans="1:12" x14ac:dyDescent="0.25">
      <c r="A653">
        <v>35</v>
      </c>
      <c r="B653" s="1">
        <v>45606</v>
      </c>
      <c r="C653" t="s">
        <v>29</v>
      </c>
      <c r="D653">
        <v>2</v>
      </c>
      <c r="E653">
        <v>3</v>
      </c>
      <c r="F653" t="s">
        <v>32</v>
      </c>
      <c r="G653">
        <f t="shared" si="72"/>
        <v>9</v>
      </c>
      <c r="H653">
        <f t="shared" si="73"/>
        <v>7</v>
      </c>
      <c r="I653">
        <f t="shared" si="74"/>
        <v>16</v>
      </c>
      <c r="J653">
        <f t="shared" ref="J653:J681" si="76">COUNTIF(D653,"=1")</f>
        <v>0</v>
      </c>
      <c r="K653">
        <f t="shared" ref="K653:K681" si="77">COUNTIF(D653,"&lt;4")</f>
        <v>1</v>
      </c>
      <c r="L653">
        <f t="shared" si="75"/>
        <v>-1</v>
      </c>
    </row>
    <row r="654" spans="1:12" x14ac:dyDescent="0.25">
      <c r="A654">
        <v>35</v>
      </c>
      <c r="B654" s="1">
        <v>45606</v>
      </c>
      <c r="C654" t="s">
        <v>29</v>
      </c>
      <c r="D654">
        <v>3</v>
      </c>
      <c r="E654">
        <v>2</v>
      </c>
      <c r="F654" t="s">
        <v>31</v>
      </c>
      <c r="G654">
        <f t="shared" si="72"/>
        <v>8</v>
      </c>
      <c r="H654">
        <f t="shared" si="73"/>
        <v>5</v>
      </c>
      <c r="I654">
        <f t="shared" si="74"/>
        <v>13</v>
      </c>
      <c r="J654">
        <f t="shared" si="76"/>
        <v>0</v>
      </c>
      <c r="K654">
        <f t="shared" si="77"/>
        <v>1</v>
      </c>
      <c r="L654">
        <f t="shared" si="75"/>
        <v>1</v>
      </c>
    </row>
    <row r="655" spans="1:12" x14ac:dyDescent="0.25">
      <c r="A655">
        <v>35</v>
      </c>
      <c r="B655" s="1">
        <v>45606</v>
      </c>
      <c r="C655" t="s">
        <v>29</v>
      </c>
      <c r="D655">
        <v>4</v>
      </c>
      <c r="E655">
        <v>5</v>
      </c>
      <c r="F655" t="s">
        <v>34</v>
      </c>
      <c r="G655">
        <f t="shared" si="72"/>
        <v>7</v>
      </c>
      <c r="H655">
        <f t="shared" si="73"/>
        <v>3</v>
      </c>
      <c r="I655">
        <f t="shared" si="74"/>
        <v>10</v>
      </c>
      <c r="J655">
        <f t="shared" si="76"/>
        <v>0</v>
      </c>
      <c r="K655">
        <f t="shared" si="77"/>
        <v>0</v>
      </c>
      <c r="L655">
        <f t="shared" si="75"/>
        <v>-1</v>
      </c>
    </row>
    <row r="656" spans="1:12" x14ac:dyDescent="0.25">
      <c r="A656">
        <v>35</v>
      </c>
      <c r="B656" s="1">
        <v>45606</v>
      </c>
      <c r="C656" t="s">
        <v>29</v>
      </c>
      <c r="D656">
        <v>5</v>
      </c>
      <c r="E656">
        <v>4</v>
      </c>
      <c r="F656" t="s">
        <v>33</v>
      </c>
      <c r="G656">
        <f t="shared" si="72"/>
        <v>6</v>
      </c>
      <c r="H656">
        <f t="shared" si="73"/>
        <v>1</v>
      </c>
      <c r="I656">
        <f t="shared" si="74"/>
        <v>7</v>
      </c>
      <c r="J656">
        <f t="shared" si="76"/>
        <v>0</v>
      </c>
      <c r="K656">
        <f t="shared" si="77"/>
        <v>0</v>
      </c>
      <c r="L656">
        <f t="shared" si="75"/>
        <v>1</v>
      </c>
    </row>
    <row r="657" spans="1:12" x14ac:dyDescent="0.25">
      <c r="A657">
        <v>35</v>
      </c>
      <c r="B657" s="1">
        <v>45606</v>
      </c>
      <c r="C657" t="s">
        <v>29</v>
      </c>
      <c r="D657">
        <v>6</v>
      </c>
      <c r="E657">
        <v>6</v>
      </c>
      <c r="F657" t="s">
        <v>35</v>
      </c>
      <c r="G657">
        <f t="shared" si="72"/>
        <v>5</v>
      </c>
      <c r="H657">
        <f t="shared" si="73"/>
        <v>0</v>
      </c>
      <c r="I657">
        <f t="shared" si="74"/>
        <v>5</v>
      </c>
      <c r="J657">
        <f t="shared" si="76"/>
        <v>0</v>
      </c>
      <c r="K657">
        <f t="shared" si="77"/>
        <v>0</v>
      </c>
      <c r="L657">
        <f t="shared" si="75"/>
        <v>0</v>
      </c>
    </row>
    <row r="658" spans="1:12" x14ac:dyDescent="0.25">
      <c r="A658">
        <v>35</v>
      </c>
      <c r="B658" s="1">
        <v>45606</v>
      </c>
      <c r="C658" t="s">
        <v>29</v>
      </c>
      <c r="D658">
        <v>7</v>
      </c>
      <c r="E658">
        <v>8</v>
      </c>
      <c r="F658" t="s">
        <v>37</v>
      </c>
      <c r="G658">
        <f t="shared" si="72"/>
        <v>4</v>
      </c>
      <c r="H658">
        <f t="shared" si="73"/>
        <v>0</v>
      </c>
      <c r="I658">
        <f t="shared" si="74"/>
        <v>4</v>
      </c>
      <c r="J658">
        <f t="shared" si="76"/>
        <v>0</v>
      </c>
      <c r="K658">
        <f t="shared" si="77"/>
        <v>0</v>
      </c>
      <c r="L658">
        <f t="shared" si="75"/>
        <v>-1</v>
      </c>
    </row>
    <row r="659" spans="1:12" x14ac:dyDescent="0.25">
      <c r="A659">
        <v>35</v>
      </c>
      <c r="B659" s="1">
        <v>45606</v>
      </c>
      <c r="C659" t="s">
        <v>29</v>
      </c>
      <c r="D659">
        <v>8</v>
      </c>
      <c r="E659">
        <v>11</v>
      </c>
      <c r="F659" t="s">
        <v>82</v>
      </c>
      <c r="G659">
        <f t="shared" si="72"/>
        <v>3</v>
      </c>
      <c r="H659">
        <f t="shared" si="73"/>
        <v>0</v>
      </c>
      <c r="I659">
        <f t="shared" si="74"/>
        <v>3</v>
      </c>
      <c r="J659">
        <f t="shared" si="76"/>
        <v>0</v>
      </c>
      <c r="K659">
        <f t="shared" si="77"/>
        <v>0</v>
      </c>
      <c r="L659">
        <f t="shared" si="75"/>
        <v>-3</v>
      </c>
    </row>
    <row r="660" spans="1:12" x14ac:dyDescent="0.25">
      <c r="A660">
        <v>35</v>
      </c>
      <c r="B660" s="1">
        <v>45606</v>
      </c>
      <c r="C660" t="s">
        <v>29</v>
      </c>
      <c r="D660">
        <v>9</v>
      </c>
      <c r="E660">
        <v>11</v>
      </c>
      <c r="F660" t="s">
        <v>81</v>
      </c>
      <c r="G660">
        <f t="shared" si="72"/>
        <v>2</v>
      </c>
      <c r="H660">
        <f t="shared" si="73"/>
        <v>0</v>
      </c>
      <c r="I660">
        <f t="shared" si="74"/>
        <v>2</v>
      </c>
      <c r="J660">
        <f t="shared" si="76"/>
        <v>0</v>
      </c>
      <c r="K660">
        <f t="shared" si="77"/>
        <v>0</v>
      </c>
      <c r="L660">
        <f t="shared" si="75"/>
        <v>-2</v>
      </c>
    </row>
    <row r="661" spans="1:12" x14ac:dyDescent="0.25">
      <c r="A661">
        <v>35</v>
      </c>
      <c r="B661" s="1">
        <v>45606</v>
      </c>
      <c r="C661" t="s">
        <v>29</v>
      </c>
      <c r="D661">
        <v>10</v>
      </c>
      <c r="E661">
        <v>7</v>
      </c>
      <c r="F661" t="s">
        <v>36</v>
      </c>
      <c r="G661">
        <f t="shared" si="72"/>
        <v>1</v>
      </c>
      <c r="H661">
        <f t="shared" si="73"/>
        <v>0</v>
      </c>
      <c r="I661">
        <f t="shared" si="74"/>
        <v>1</v>
      </c>
      <c r="J661">
        <f t="shared" si="76"/>
        <v>0</v>
      </c>
      <c r="K661">
        <f t="shared" si="77"/>
        <v>0</v>
      </c>
      <c r="L661">
        <f t="shared" si="75"/>
        <v>3</v>
      </c>
    </row>
    <row r="662" spans="1:12" x14ac:dyDescent="0.25">
      <c r="A662">
        <v>36</v>
      </c>
      <c r="B662" s="1">
        <v>45613</v>
      </c>
      <c r="C662" t="s">
        <v>4</v>
      </c>
      <c r="D662">
        <v>1</v>
      </c>
      <c r="E662">
        <v>1</v>
      </c>
      <c r="F662" t="s">
        <v>10</v>
      </c>
      <c r="G662">
        <f t="shared" si="72"/>
        <v>10</v>
      </c>
      <c r="H662">
        <f t="shared" si="73"/>
        <v>9</v>
      </c>
      <c r="I662">
        <f t="shared" si="74"/>
        <v>19</v>
      </c>
      <c r="J662">
        <f t="shared" si="76"/>
        <v>1</v>
      </c>
      <c r="K662">
        <f t="shared" si="77"/>
        <v>1</v>
      </c>
      <c r="L662">
        <f t="shared" si="75"/>
        <v>0</v>
      </c>
    </row>
    <row r="663" spans="1:12" x14ac:dyDescent="0.25">
      <c r="A663">
        <v>36</v>
      </c>
      <c r="B663" s="1">
        <v>45613</v>
      </c>
      <c r="C663" t="s">
        <v>4</v>
      </c>
      <c r="D663">
        <v>2</v>
      </c>
      <c r="E663">
        <v>3</v>
      </c>
      <c r="F663" t="s">
        <v>12</v>
      </c>
      <c r="G663">
        <f t="shared" si="72"/>
        <v>9</v>
      </c>
      <c r="H663">
        <f t="shared" si="73"/>
        <v>7</v>
      </c>
      <c r="I663">
        <f t="shared" si="74"/>
        <v>16</v>
      </c>
      <c r="J663">
        <f t="shared" si="76"/>
        <v>0</v>
      </c>
      <c r="K663">
        <f t="shared" si="77"/>
        <v>1</v>
      </c>
      <c r="L663">
        <f t="shared" si="75"/>
        <v>-1</v>
      </c>
    </row>
    <row r="664" spans="1:12" x14ac:dyDescent="0.25">
      <c r="A664">
        <v>36</v>
      </c>
      <c r="B664" s="1">
        <v>45613</v>
      </c>
      <c r="C664" t="s">
        <v>4</v>
      </c>
      <c r="D664">
        <v>3</v>
      </c>
      <c r="E664">
        <v>2</v>
      </c>
      <c r="F664" t="s">
        <v>9</v>
      </c>
      <c r="G664">
        <f t="shared" si="72"/>
        <v>8</v>
      </c>
      <c r="H664">
        <f t="shared" si="73"/>
        <v>5</v>
      </c>
      <c r="I664">
        <f t="shared" si="74"/>
        <v>13</v>
      </c>
      <c r="J664">
        <f t="shared" si="76"/>
        <v>0</v>
      </c>
      <c r="K664">
        <f t="shared" si="77"/>
        <v>1</v>
      </c>
      <c r="L664">
        <f t="shared" si="75"/>
        <v>1</v>
      </c>
    </row>
    <row r="665" spans="1:12" x14ac:dyDescent="0.25">
      <c r="A665">
        <v>36</v>
      </c>
      <c r="B665" s="1">
        <v>45613</v>
      </c>
      <c r="C665" t="s">
        <v>4</v>
      </c>
      <c r="D665">
        <v>4</v>
      </c>
      <c r="E665">
        <v>5</v>
      </c>
      <c r="F665" t="s">
        <v>14</v>
      </c>
      <c r="G665">
        <f t="shared" si="72"/>
        <v>7</v>
      </c>
      <c r="H665">
        <f t="shared" si="73"/>
        <v>3</v>
      </c>
      <c r="I665">
        <f t="shared" si="74"/>
        <v>10</v>
      </c>
      <c r="J665">
        <f t="shared" si="76"/>
        <v>0</v>
      </c>
      <c r="K665">
        <f t="shared" si="77"/>
        <v>0</v>
      </c>
      <c r="L665">
        <f t="shared" si="75"/>
        <v>-1</v>
      </c>
    </row>
    <row r="666" spans="1:12" x14ac:dyDescent="0.25">
      <c r="A666">
        <v>36</v>
      </c>
      <c r="B666" s="1">
        <v>45613</v>
      </c>
      <c r="C666" t="s">
        <v>4</v>
      </c>
      <c r="D666">
        <v>5</v>
      </c>
      <c r="E666">
        <v>4</v>
      </c>
      <c r="F666" t="s">
        <v>11</v>
      </c>
      <c r="G666">
        <f t="shared" si="72"/>
        <v>6</v>
      </c>
      <c r="H666">
        <f t="shared" si="73"/>
        <v>1</v>
      </c>
      <c r="I666">
        <f t="shared" si="74"/>
        <v>7</v>
      </c>
      <c r="J666">
        <f t="shared" si="76"/>
        <v>0</v>
      </c>
      <c r="K666">
        <f t="shared" si="77"/>
        <v>0</v>
      </c>
      <c r="L666">
        <f t="shared" si="75"/>
        <v>1</v>
      </c>
    </row>
    <row r="667" spans="1:12" x14ac:dyDescent="0.25">
      <c r="A667">
        <v>36</v>
      </c>
      <c r="B667" s="1">
        <v>45613</v>
      </c>
      <c r="C667" t="s">
        <v>4</v>
      </c>
      <c r="D667">
        <v>6</v>
      </c>
      <c r="E667">
        <v>6</v>
      </c>
      <c r="F667" t="s">
        <v>15</v>
      </c>
      <c r="G667">
        <f t="shared" si="72"/>
        <v>5</v>
      </c>
      <c r="H667">
        <f t="shared" si="73"/>
        <v>0</v>
      </c>
      <c r="I667">
        <f t="shared" si="74"/>
        <v>5</v>
      </c>
      <c r="J667">
        <f t="shared" si="76"/>
        <v>0</v>
      </c>
      <c r="K667">
        <f t="shared" si="77"/>
        <v>0</v>
      </c>
      <c r="L667">
        <f t="shared" si="75"/>
        <v>0</v>
      </c>
    </row>
    <row r="668" spans="1:12" x14ac:dyDescent="0.25">
      <c r="A668">
        <v>36</v>
      </c>
      <c r="B668" s="1">
        <v>45613</v>
      </c>
      <c r="C668" t="s">
        <v>4</v>
      </c>
      <c r="D668">
        <v>7</v>
      </c>
      <c r="E668">
        <v>8</v>
      </c>
      <c r="F668" t="s">
        <v>18</v>
      </c>
      <c r="G668">
        <f t="shared" si="72"/>
        <v>4</v>
      </c>
      <c r="H668">
        <f t="shared" si="73"/>
        <v>0</v>
      </c>
      <c r="I668">
        <f t="shared" si="74"/>
        <v>4</v>
      </c>
      <c r="J668">
        <f t="shared" si="76"/>
        <v>0</v>
      </c>
      <c r="K668">
        <f t="shared" si="77"/>
        <v>0</v>
      </c>
      <c r="L668">
        <f t="shared" si="75"/>
        <v>-1</v>
      </c>
    </row>
    <row r="669" spans="1:12" x14ac:dyDescent="0.25">
      <c r="A669">
        <v>36</v>
      </c>
      <c r="B669" s="1">
        <v>45613</v>
      </c>
      <c r="C669" t="s">
        <v>4</v>
      </c>
      <c r="D669">
        <v>8</v>
      </c>
      <c r="E669">
        <v>7</v>
      </c>
      <c r="F669" t="s">
        <v>13</v>
      </c>
      <c r="G669">
        <f t="shared" si="72"/>
        <v>3</v>
      </c>
      <c r="H669">
        <f t="shared" si="73"/>
        <v>0</v>
      </c>
      <c r="I669">
        <f t="shared" si="74"/>
        <v>3</v>
      </c>
      <c r="J669">
        <f t="shared" si="76"/>
        <v>0</v>
      </c>
      <c r="K669">
        <f t="shared" si="77"/>
        <v>0</v>
      </c>
      <c r="L669">
        <f t="shared" si="75"/>
        <v>1</v>
      </c>
    </row>
    <row r="670" spans="1:12" x14ac:dyDescent="0.25">
      <c r="A670">
        <v>36</v>
      </c>
      <c r="B670" s="1">
        <v>45613</v>
      </c>
      <c r="C670" t="s">
        <v>4</v>
      </c>
      <c r="D670">
        <v>9</v>
      </c>
      <c r="E670">
        <v>9</v>
      </c>
      <c r="F670" t="s">
        <v>16</v>
      </c>
      <c r="G670">
        <f t="shared" ref="G670:G693" si="78">11-D670</f>
        <v>2</v>
      </c>
      <c r="H670">
        <f t="shared" ref="H670:H693" si="79">IF(D670&lt;6,11-2*D670,0)</f>
        <v>0</v>
      </c>
      <c r="I670">
        <f t="shared" ref="I670:I693" si="80">G670+H670</f>
        <v>2</v>
      </c>
      <c r="J670">
        <f t="shared" si="76"/>
        <v>0</v>
      </c>
      <c r="K670">
        <f t="shared" si="77"/>
        <v>0</v>
      </c>
      <c r="L670">
        <f t="shared" si="75"/>
        <v>0</v>
      </c>
    </row>
    <row r="671" spans="1:12" x14ac:dyDescent="0.25">
      <c r="A671">
        <v>36</v>
      </c>
      <c r="B671" s="1">
        <v>45613</v>
      </c>
      <c r="C671" t="s">
        <v>4</v>
      </c>
      <c r="D671">
        <v>10</v>
      </c>
      <c r="E671">
        <v>11</v>
      </c>
      <c r="F671" t="s">
        <v>83</v>
      </c>
      <c r="G671">
        <f t="shared" si="78"/>
        <v>1</v>
      </c>
      <c r="H671">
        <f t="shared" si="79"/>
        <v>0</v>
      </c>
      <c r="I671">
        <f t="shared" si="80"/>
        <v>1</v>
      </c>
      <c r="J671">
        <f t="shared" si="76"/>
        <v>0</v>
      </c>
      <c r="K671">
        <f t="shared" si="77"/>
        <v>0</v>
      </c>
      <c r="L671">
        <f t="shared" si="75"/>
        <v>-1</v>
      </c>
    </row>
    <row r="672" spans="1:12" x14ac:dyDescent="0.25">
      <c r="A672">
        <v>36</v>
      </c>
      <c r="B672" s="1">
        <v>45613</v>
      </c>
      <c r="C672" t="s">
        <v>29</v>
      </c>
      <c r="D672">
        <v>1</v>
      </c>
      <c r="E672">
        <v>1</v>
      </c>
      <c r="F672" t="s">
        <v>30</v>
      </c>
      <c r="G672">
        <f t="shared" si="78"/>
        <v>10</v>
      </c>
      <c r="H672">
        <f t="shared" si="79"/>
        <v>9</v>
      </c>
      <c r="I672">
        <f t="shared" si="80"/>
        <v>19</v>
      </c>
      <c r="J672">
        <f t="shared" si="76"/>
        <v>1</v>
      </c>
      <c r="K672">
        <f t="shared" si="77"/>
        <v>1</v>
      </c>
      <c r="L672">
        <f t="shared" si="75"/>
        <v>0</v>
      </c>
    </row>
    <row r="673" spans="1:12" x14ac:dyDescent="0.25">
      <c r="A673">
        <v>36</v>
      </c>
      <c r="B673" s="1">
        <v>45613</v>
      </c>
      <c r="C673" t="s">
        <v>29</v>
      </c>
      <c r="D673">
        <v>2</v>
      </c>
      <c r="E673">
        <v>2</v>
      </c>
      <c r="F673" t="s">
        <v>32</v>
      </c>
      <c r="G673">
        <f t="shared" si="78"/>
        <v>9</v>
      </c>
      <c r="H673">
        <f t="shared" si="79"/>
        <v>7</v>
      </c>
      <c r="I673">
        <f t="shared" si="80"/>
        <v>16</v>
      </c>
      <c r="J673">
        <f t="shared" si="76"/>
        <v>0</v>
      </c>
      <c r="K673">
        <f t="shared" si="77"/>
        <v>1</v>
      </c>
      <c r="L673">
        <f t="shared" si="75"/>
        <v>0</v>
      </c>
    </row>
    <row r="674" spans="1:12" x14ac:dyDescent="0.25">
      <c r="A674">
        <v>36</v>
      </c>
      <c r="B674" s="1">
        <v>45613</v>
      </c>
      <c r="C674" t="s">
        <v>29</v>
      </c>
      <c r="D674">
        <v>3</v>
      </c>
      <c r="E674">
        <v>4</v>
      </c>
      <c r="F674" t="s">
        <v>34</v>
      </c>
      <c r="G674">
        <f t="shared" si="78"/>
        <v>8</v>
      </c>
      <c r="H674">
        <f t="shared" si="79"/>
        <v>5</v>
      </c>
      <c r="I674">
        <f t="shared" si="80"/>
        <v>13</v>
      </c>
      <c r="J674">
        <f t="shared" si="76"/>
        <v>0</v>
      </c>
      <c r="K674">
        <f t="shared" si="77"/>
        <v>1</v>
      </c>
      <c r="L674">
        <f t="shared" si="75"/>
        <v>-1</v>
      </c>
    </row>
    <row r="675" spans="1:12" x14ac:dyDescent="0.25">
      <c r="A675">
        <v>36</v>
      </c>
      <c r="B675" s="1">
        <v>45613</v>
      </c>
      <c r="C675" t="s">
        <v>29</v>
      </c>
      <c r="D675">
        <v>4</v>
      </c>
      <c r="E675">
        <v>3</v>
      </c>
      <c r="F675" t="s">
        <v>31</v>
      </c>
      <c r="G675">
        <f t="shared" si="78"/>
        <v>7</v>
      </c>
      <c r="H675">
        <f t="shared" si="79"/>
        <v>3</v>
      </c>
      <c r="I675">
        <f t="shared" si="80"/>
        <v>10</v>
      </c>
      <c r="J675">
        <f t="shared" si="76"/>
        <v>0</v>
      </c>
      <c r="K675">
        <f t="shared" si="77"/>
        <v>0</v>
      </c>
      <c r="L675">
        <f t="shared" si="75"/>
        <v>1</v>
      </c>
    </row>
    <row r="676" spans="1:12" x14ac:dyDescent="0.25">
      <c r="A676">
        <v>36</v>
      </c>
      <c r="B676" s="1">
        <v>45613</v>
      </c>
      <c r="C676" t="s">
        <v>29</v>
      </c>
      <c r="D676">
        <v>5</v>
      </c>
      <c r="E676">
        <v>6</v>
      </c>
      <c r="F676" t="s">
        <v>35</v>
      </c>
      <c r="G676">
        <f t="shared" si="78"/>
        <v>6</v>
      </c>
      <c r="H676">
        <f t="shared" si="79"/>
        <v>1</v>
      </c>
      <c r="I676">
        <f t="shared" si="80"/>
        <v>7</v>
      </c>
      <c r="J676">
        <f t="shared" si="76"/>
        <v>0</v>
      </c>
      <c r="K676">
        <f t="shared" si="77"/>
        <v>0</v>
      </c>
      <c r="L676">
        <f t="shared" si="75"/>
        <v>-1</v>
      </c>
    </row>
    <row r="677" spans="1:12" x14ac:dyDescent="0.25">
      <c r="A677">
        <v>36</v>
      </c>
      <c r="B677" s="1">
        <v>45613</v>
      </c>
      <c r="C677" t="s">
        <v>29</v>
      </c>
      <c r="D677">
        <v>6</v>
      </c>
      <c r="E677">
        <v>7</v>
      </c>
      <c r="F677" t="s">
        <v>37</v>
      </c>
      <c r="G677">
        <f t="shared" si="78"/>
        <v>5</v>
      </c>
      <c r="H677">
        <f t="shared" si="79"/>
        <v>0</v>
      </c>
      <c r="I677">
        <f t="shared" si="80"/>
        <v>5</v>
      </c>
      <c r="J677">
        <f t="shared" si="76"/>
        <v>0</v>
      </c>
      <c r="K677">
        <f t="shared" si="77"/>
        <v>0</v>
      </c>
      <c r="L677">
        <f t="shared" si="75"/>
        <v>-1</v>
      </c>
    </row>
    <row r="678" spans="1:12" x14ac:dyDescent="0.25">
      <c r="A678">
        <v>36</v>
      </c>
      <c r="B678" s="1">
        <v>45613</v>
      </c>
      <c r="C678" t="s">
        <v>29</v>
      </c>
      <c r="D678">
        <v>7</v>
      </c>
      <c r="E678">
        <v>8</v>
      </c>
      <c r="F678" t="s">
        <v>82</v>
      </c>
      <c r="G678">
        <f t="shared" si="78"/>
        <v>4</v>
      </c>
      <c r="H678">
        <f t="shared" si="79"/>
        <v>0</v>
      </c>
      <c r="I678">
        <f t="shared" si="80"/>
        <v>4</v>
      </c>
      <c r="J678">
        <f t="shared" si="76"/>
        <v>0</v>
      </c>
      <c r="K678">
        <f t="shared" si="77"/>
        <v>0</v>
      </c>
      <c r="L678">
        <f t="shared" si="75"/>
        <v>-1</v>
      </c>
    </row>
    <row r="679" spans="1:12" x14ac:dyDescent="0.25">
      <c r="A679">
        <v>36</v>
      </c>
      <c r="B679" s="1">
        <v>45613</v>
      </c>
      <c r="C679" t="s">
        <v>29</v>
      </c>
      <c r="D679">
        <v>8</v>
      </c>
      <c r="E679">
        <v>9</v>
      </c>
      <c r="F679" t="s">
        <v>81</v>
      </c>
      <c r="G679">
        <f t="shared" si="78"/>
        <v>3</v>
      </c>
      <c r="H679">
        <f t="shared" si="79"/>
        <v>0</v>
      </c>
      <c r="I679">
        <f t="shared" si="80"/>
        <v>3</v>
      </c>
      <c r="J679">
        <f t="shared" si="76"/>
        <v>0</v>
      </c>
      <c r="K679">
        <f t="shared" si="77"/>
        <v>0</v>
      </c>
      <c r="L679">
        <f t="shared" si="75"/>
        <v>-1</v>
      </c>
    </row>
    <row r="680" spans="1:12" x14ac:dyDescent="0.25">
      <c r="A680">
        <v>36</v>
      </c>
      <c r="B680" s="1">
        <v>45613</v>
      </c>
      <c r="C680" t="s">
        <v>29</v>
      </c>
      <c r="D680">
        <v>9</v>
      </c>
      <c r="E680">
        <v>5</v>
      </c>
      <c r="F680" t="s">
        <v>33</v>
      </c>
      <c r="G680">
        <f t="shared" si="78"/>
        <v>2</v>
      </c>
      <c r="H680">
        <f t="shared" si="79"/>
        <v>0</v>
      </c>
      <c r="I680">
        <f t="shared" si="80"/>
        <v>2</v>
      </c>
      <c r="J680">
        <f t="shared" si="76"/>
        <v>0</v>
      </c>
      <c r="K680">
        <f t="shared" si="77"/>
        <v>0</v>
      </c>
      <c r="L680">
        <f t="shared" si="75"/>
        <v>4</v>
      </c>
    </row>
    <row r="681" spans="1:12" x14ac:dyDescent="0.25">
      <c r="A681">
        <v>36</v>
      </c>
      <c r="B681" s="1">
        <v>45613</v>
      </c>
      <c r="C681" t="s">
        <v>29</v>
      </c>
      <c r="D681">
        <v>10</v>
      </c>
      <c r="E681">
        <v>11</v>
      </c>
      <c r="F681" t="s">
        <v>84</v>
      </c>
      <c r="G681">
        <f t="shared" si="78"/>
        <v>1</v>
      </c>
      <c r="H681">
        <f t="shared" si="79"/>
        <v>0</v>
      </c>
      <c r="I681">
        <f t="shared" si="80"/>
        <v>1</v>
      </c>
      <c r="J681">
        <f t="shared" si="76"/>
        <v>0</v>
      </c>
      <c r="K681">
        <f t="shared" si="77"/>
        <v>0</v>
      </c>
      <c r="L681">
        <f t="shared" si="75"/>
        <v>-1</v>
      </c>
    </row>
    <row r="682" spans="1:12" x14ac:dyDescent="0.25">
      <c r="A682">
        <v>37</v>
      </c>
      <c r="B682" s="1">
        <v>45627</v>
      </c>
      <c r="C682" t="s">
        <v>4</v>
      </c>
      <c r="D682">
        <v>1</v>
      </c>
      <c r="E682">
        <v>2</v>
      </c>
      <c r="F682" t="s">
        <v>12</v>
      </c>
      <c r="G682">
        <f t="shared" si="78"/>
        <v>10</v>
      </c>
      <c r="H682">
        <f t="shared" si="79"/>
        <v>9</v>
      </c>
      <c r="I682">
        <f t="shared" si="80"/>
        <v>19</v>
      </c>
      <c r="J682">
        <f t="shared" ref="J682:J701" si="81">COUNTIF(D682,"=1")</f>
        <v>1</v>
      </c>
      <c r="K682">
        <f t="shared" ref="K682:K701" si="82">COUNTIF(D682,"&lt;4")</f>
        <v>1</v>
      </c>
      <c r="L682">
        <f t="shared" si="75"/>
        <v>-1</v>
      </c>
    </row>
    <row r="683" spans="1:12" x14ac:dyDescent="0.25">
      <c r="A683">
        <v>37</v>
      </c>
      <c r="B683" s="1">
        <v>45627</v>
      </c>
      <c r="C683" t="s">
        <v>4</v>
      </c>
      <c r="D683">
        <v>2</v>
      </c>
      <c r="E683">
        <v>1</v>
      </c>
      <c r="F683" t="s">
        <v>10</v>
      </c>
      <c r="G683">
        <f t="shared" si="78"/>
        <v>9</v>
      </c>
      <c r="H683">
        <f t="shared" si="79"/>
        <v>7</v>
      </c>
      <c r="I683">
        <f t="shared" si="80"/>
        <v>16</v>
      </c>
      <c r="J683">
        <f t="shared" si="81"/>
        <v>0</v>
      </c>
      <c r="K683">
        <f t="shared" si="82"/>
        <v>1</v>
      </c>
      <c r="L683">
        <f t="shared" si="75"/>
        <v>1</v>
      </c>
    </row>
    <row r="684" spans="1:12" x14ac:dyDescent="0.25">
      <c r="A684">
        <v>37</v>
      </c>
      <c r="B684" s="1">
        <v>45627</v>
      </c>
      <c r="C684" t="s">
        <v>4</v>
      </c>
      <c r="D684">
        <v>3</v>
      </c>
      <c r="E684">
        <v>3</v>
      </c>
      <c r="F684" t="s">
        <v>9</v>
      </c>
      <c r="G684">
        <f t="shared" si="78"/>
        <v>8</v>
      </c>
      <c r="H684">
        <f t="shared" si="79"/>
        <v>5</v>
      </c>
      <c r="I684">
        <f t="shared" si="80"/>
        <v>13</v>
      </c>
      <c r="J684">
        <f t="shared" si="81"/>
        <v>0</v>
      </c>
      <c r="K684">
        <f t="shared" si="82"/>
        <v>1</v>
      </c>
      <c r="L684">
        <f t="shared" si="75"/>
        <v>0</v>
      </c>
    </row>
    <row r="685" spans="1:12" x14ac:dyDescent="0.25">
      <c r="A685">
        <v>37</v>
      </c>
      <c r="B685" s="1">
        <v>45627</v>
      </c>
      <c r="C685" t="s">
        <v>4</v>
      </c>
      <c r="D685">
        <v>4</v>
      </c>
      <c r="E685">
        <v>4</v>
      </c>
      <c r="F685" t="s">
        <v>14</v>
      </c>
      <c r="G685">
        <f t="shared" si="78"/>
        <v>7</v>
      </c>
      <c r="H685">
        <f t="shared" si="79"/>
        <v>3</v>
      </c>
      <c r="I685">
        <f t="shared" si="80"/>
        <v>10</v>
      </c>
      <c r="J685">
        <f t="shared" si="81"/>
        <v>0</v>
      </c>
      <c r="K685">
        <f t="shared" si="82"/>
        <v>0</v>
      </c>
      <c r="L685">
        <f t="shared" si="75"/>
        <v>0</v>
      </c>
    </row>
    <row r="686" spans="1:12" x14ac:dyDescent="0.25">
      <c r="A686">
        <v>37</v>
      </c>
      <c r="B686" s="1">
        <v>45627</v>
      </c>
      <c r="C686" t="s">
        <v>4</v>
      </c>
      <c r="D686">
        <v>5</v>
      </c>
      <c r="E686">
        <v>6</v>
      </c>
      <c r="F686" t="s">
        <v>15</v>
      </c>
      <c r="G686">
        <f t="shared" si="78"/>
        <v>6</v>
      </c>
      <c r="H686">
        <f t="shared" si="79"/>
        <v>1</v>
      </c>
      <c r="I686">
        <f t="shared" si="80"/>
        <v>7</v>
      </c>
      <c r="J686">
        <f t="shared" si="81"/>
        <v>0</v>
      </c>
      <c r="K686">
        <f t="shared" si="82"/>
        <v>0</v>
      </c>
      <c r="L686">
        <f t="shared" si="75"/>
        <v>-1</v>
      </c>
    </row>
    <row r="687" spans="1:12" x14ac:dyDescent="0.25">
      <c r="A687">
        <v>37</v>
      </c>
      <c r="B687" s="1">
        <v>45627</v>
      </c>
      <c r="C687" t="s">
        <v>4</v>
      </c>
      <c r="D687">
        <v>6</v>
      </c>
      <c r="E687">
        <v>5</v>
      </c>
      <c r="F687" t="s">
        <v>11</v>
      </c>
      <c r="G687">
        <f t="shared" si="78"/>
        <v>5</v>
      </c>
      <c r="H687">
        <f t="shared" si="79"/>
        <v>0</v>
      </c>
      <c r="I687">
        <f t="shared" si="80"/>
        <v>5</v>
      </c>
      <c r="J687">
        <f t="shared" si="81"/>
        <v>0</v>
      </c>
      <c r="K687">
        <f t="shared" si="82"/>
        <v>0</v>
      </c>
      <c r="L687">
        <f t="shared" si="75"/>
        <v>1</v>
      </c>
    </row>
    <row r="688" spans="1:12" x14ac:dyDescent="0.25">
      <c r="A688">
        <v>37</v>
      </c>
      <c r="B688" s="1">
        <v>45627</v>
      </c>
      <c r="C688" t="s">
        <v>4</v>
      </c>
      <c r="D688">
        <v>7</v>
      </c>
      <c r="E688">
        <v>7</v>
      </c>
      <c r="F688" t="s">
        <v>18</v>
      </c>
      <c r="G688">
        <f t="shared" si="78"/>
        <v>4</v>
      </c>
      <c r="H688">
        <f t="shared" si="79"/>
        <v>0</v>
      </c>
      <c r="I688">
        <f t="shared" si="80"/>
        <v>4</v>
      </c>
      <c r="J688">
        <f t="shared" si="81"/>
        <v>0</v>
      </c>
      <c r="K688">
        <f t="shared" si="82"/>
        <v>0</v>
      </c>
      <c r="L688">
        <f t="shared" si="75"/>
        <v>0</v>
      </c>
    </row>
    <row r="689" spans="1:12" x14ac:dyDescent="0.25">
      <c r="A689">
        <v>37</v>
      </c>
      <c r="B689" s="1">
        <v>45627</v>
      </c>
      <c r="C689" t="s">
        <v>4</v>
      </c>
      <c r="D689">
        <v>8</v>
      </c>
      <c r="E689">
        <v>10</v>
      </c>
      <c r="F689" t="s">
        <v>83</v>
      </c>
      <c r="G689">
        <f t="shared" si="78"/>
        <v>3</v>
      </c>
      <c r="H689">
        <f t="shared" si="79"/>
        <v>0</v>
      </c>
      <c r="I689">
        <f t="shared" si="80"/>
        <v>3</v>
      </c>
      <c r="J689">
        <f t="shared" si="81"/>
        <v>0</v>
      </c>
      <c r="K689">
        <f t="shared" si="82"/>
        <v>0</v>
      </c>
      <c r="L689">
        <f t="shared" si="75"/>
        <v>-2</v>
      </c>
    </row>
    <row r="690" spans="1:12" x14ac:dyDescent="0.25">
      <c r="A690">
        <v>37</v>
      </c>
      <c r="B690" s="1">
        <v>45627</v>
      </c>
      <c r="C690" t="s">
        <v>4</v>
      </c>
      <c r="D690">
        <v>9</v>
      </c>
      <c r="E690">
        <v>8</v>
      </c>
      <c r="F690" t="s">
        <v>13</v>
      </c>
      <c r="G690">
        <f t="shared" si="78"/>
        <v>2</v>
      </c>
      <c r="H690">
        <f t="shared" si="79"/>
        <v>0</v>
      </c>
      <c r="I690">
        <f t="shared" si="80"/>
        <v>2</v>
      </c>
      <c r="J690">
        <f t="shared" si="81"/>
        <v>0</v>
      </c>
      <c r="K690">
        <f t="shared" si="82"/>
        <v>0</v>
      </c>
      <c r="L690">
        <f t="shared" si="75"/>
        <v>1</v>
      </c>
    </row>
    <row r="691" spans="1:12" x14ac:dyDescent="0.25">
      <c r="A691">
        <v>37</v>
      </c>
      <c r="B691" s="1">
        <v>45627</v>
      </c>
      <c r="C691" t="s">
        <v>4</v>
      </c>
      <c r="D691">
        <v>10</v>
      </c>
      <c r="E691">
        <v>9</v>
      </c>
      <c r="F691" t="s">
        <v>16</v>
      </c>
      <c r="G691">
        <f t="shared" si="78"/>
        <v>1</v>
      </c>
      <c r="H691">
        <f t="shared" si="79"/>
        <v>0</v>
      </c>
      <c r="I691">
        <f t="shared" si="80"/>
        <v>1</v>
      </c>
      <c r="J691">
        <f t="shared" si="81"/>
        <v>0</v>
      </c>
      <c r="K691">
        <f t="shared" si="82"/>
        <v>0</v>
      </c>
      <c r="L691">
        <f t="shared" si="75"/>
        <v>1</v>
      </c>
    </row>
    <row r="692" spans="1:12" x14ac:dyDescent="0.25">
      <c r="A692">
        <v>37</v>
      </c>
      <c r="B692" s="1">
        <v>45627</v>
      </c>
      <c r="C692" t="s">
        <v>29</v>
      </c>
      <c r="D692">
        <v>1</v>
      </c>
      <c r="E692">
        <v>2</v>
      </c>
      <c r="F692" t="s">
        <v>32</v>
      </c>
      <c r="G692">
        <f t="shared" si="78"/>
        <v>10</v>
      </c>
      <c r="H692">
        <f t="shared" si="79"/>
        <v>9</v>
      </c>
      <c r="I692">
        <f t="shared" si="80"/>
        <v>19</v>
      </c>
      <c r="J692">
        <f t="shared" si="81"/>
        <v>1</v>
      </c>
      <c r="K692">
        <f t="shared" si="82"/>
        <v>1</v>
      </c>
      <c r="L692">
        <f t="shared" si="75"/>
        <v>-1</v>
      </c>
    </row>
    <row r="693" spans="1:12" x14ac:dyDescent="0.25">
      <c r="A693">
        <v>37</v>
      </c>
      <c r="B693" s="1">
        <v>45627</v>
      </c>
      <c r="C693" t="s">
        <v>29</v>
      </c>
      <c r="D693">
        <v>2</v>
      </c>
      <c r="E693">
        <v>1</v>
      </c>
      <c r="F693" t="s">
        <v>30</v>
      </c>
      <c r="G693">
        <f t="shared" si="78"/>
        <v>9</v>
      </c>
      <c r="H693">
        <f t="shared" si="79"/>
        <v>7</v>
      </c>
      <c r="I693">
        <f t="shared" si="80"/>
        <v>16</v>
      </c>
      <c r="J693">
        <f t="shared" si="81"/>
        <v>0</v>
      </c>
      <c r="K693">
        <f t="shared" si="82"/>
        <v>1</v>
      </c>
      <c r="L693">
        <f t="shared" si="75"/>
        <v>1</v>
      </c>
    </row>
    <row r="694" spans="1:12" x14ac:dyDescent="0.25">
      <c r="A694">
        <v>37</v>
      </c>
      <c r="B694" s="1">
        <v>45627</v>
      </c>
      <c r="C694" t="s">
        <v>29</v>
      </c>
      <c r="D694">
        <v>3</v>
      </c>
      <c r="E694">
        <v>3</v>
      </c>
      <c r="F694" t="s">
        <v>34</v>
      </c>
      <c r="G694">
        <f t="shared" ref="G694:G713" si="83">11-D694</f>
        <v>8</v>
      </c>
      <c r="H694">
        <f t="shared" ref="H694:H713" si="84">IF(D694&lt;6,11-2*D694,0)</f>
        <v>5</v>
      </c>
      <c r="I694">
        <f t="shared" ref="I694:I713" si="85">G694+H694</f>
        <v>13</v>
      </c>
      <c r="J694">
        <f t="shared" si="81"/>
        <v>0</v>
      </c>
      <c r="K694">
        <f t="shared" si="82"/>
        <v>1</v>
      </c>
      <c r="L694">
        <f t="shared" si="75"/>
        <v>0</v>
      </c>
    </row>
    <row r="695" spans="1:12" x14ac:dyDescent="0.25">
      <c r="A695">
        <v>37</v>
      </c>
      <c r="B695" s="1">
        <v>45627</v>
      </c>
      <c r="C695" t="s">
        <v>29</v>
      </c>
      <c r="D695">
        <v>4</v>
      </c>
      <c r="E695">
        <v>6</v>
      </c>
      <c r="F695" t="s">
        <v>37</v>
      </c>
      <c r="G695">
        <f t="shared" si="83"/>
        <v>7</v>
      </c>
      <c r="H695">
        <f t="shared" si="84"/>
        <v>3</v>
      </c>
      <c r="I695">
        <f t="shared" si="85"/>
        <v>10</v>
      </c>
      <c r="J695">
        <f t="shared" si="81"/>
        <v>0</v>
      </c>
      <c r="K695">
        <f t="shared" si="82"/>
        <v>0</v>
      </c>
      <c r="L695">
        <f t="shared" si="75"/>
        <v>-2</v>
      </c>
    </row>
    <row r="696" spans="1:12" x14ac:dyDescent="0.25">
      <c r="A696">
        <v>37</v>
      </c>
      <c r="B696" s="1">
        <v>45627</v>
      </c>
      <c r="C696" t="s">
        <v>29</v>
      </c>
      <c r="D696">
        <v>5</v>
      </c>
      <c r="E696">
        <v>5</v>
      </c>
      <c r="F696" t="s">
        <v>35</v>
      </c>
      <c r="G696">
        <f t="shared" si="83"/>
        <v>6</v>
      </c>
      <c r="H696">
        <f t="shared" si="84"/>
        <v>1</v>
      </c>
      <c r="I696">
        <f t="shared" si="85"/>
        <v>7</v>
      </c>
      <c r="J696">
        <f t="shared" si="81"/>
        <v>0</v>
      </c>
      <c r="K696">
        <f t="shared" si="82"/>
        <v>0</v>
      </c>
      <c r="L696">
        <f t="shared" si="75"/>
        <v>0</v>
      </c>
    </row>
    <row r="697" spans="1:12" x14ac:dyDescent="0.25">
      <c r="A697">
        <v>37</v>
      </c>
      <c r="B697" s="1">
        <v>45627</v>
      </c>
      <c r="C697" t="s">
        <v>29</v>
      </c>
      <c r="D697">
        <v>6</v>
      </c>
      <c r="E697">
        <v>8</v>
      </c>
      <c r="F697" t="s">
        <v>81</v>
      </c>
      <c r="G697">
        <f t="shared" si="83"/>
        <v>5</v>
      </c>
      <c r="H697">
        <f t="shared" si="84"/>
        <v>0</v>
      </c>
      <c r="I697">
        <f t="shared" si="85"/>
        <v>5</v>
      </c>
      <c r="J697">
        <f t="shared" si="81"/>
        <v>0</v>
      </c>
      <c r="K697">
        <f t="shared" si="82"/>
        <v>0</v>
      </c>
      <c r="L697">
        <f t="shared" si="75"/>
        <v>-2</v>
      </c>
    </row>
    <row r="698" spans="1:12" x14ac:dyDescent="0.25">
      <c r="A698">
        <v>37</v>
      </c>
      <c r="B698" s="1">
        <v>45627</v>
      </c>
      <c r="C698" t="s">
        <v>29</v>
      </c>
      <c r="D698">
        <v>7</v>
      </c>
      <c r="E698">
        <v>4</v>
      </c>
      <c r="F698" t="s">
        <v>31</v>
      </c>
      <c r="G698">
        <f t="shared" si="83"/>
        <v>4</v>
      </c>
      <c r="H698">
        <f t="shared" si="84"/>
        <v>0</v>
      </c>
      <c r="I698">
        <f t="shared" si="85"/>
        <v>4</v>
      </c>
      <c r="J698">
        <f t="shared" si="81"/>
        <v>0</v>
      </c>
      <c r="K698">
        <f t="shared" si="82"/>
        <v>0</v>
      </c>
      <c r="L698">
        <f t="shared" si="75"/>
        <v>3</v>
      </c>
    </row>
    <row r="699" spans="1:12" x14ac:dyDescent="0.25">
      <c r="A699">
        <v>37</v>
      </c>
      <c r="B699" s="1">
        <v>45627</v>
      </c>
      <c r="C699" t="s">
        <v>29</v>
      </c>
      <c r="D699">
        <v>8</v>
      </c>
      <c r="E699">
        <v>11</v>
      </c>
      <c r="F699" t="s">
        <v>104</v>
      </c>
      <c r="G699">
        <f t="shared" si="83"/>
        <v>3</v>
      </c>
      <c r="H699">
        <f t="shared" si="84"/>
        <v>0</v>
      </c>
      <c r="I699">
        <f t="shared" si="85"/>
        <v>3</v>
      </c>
      <c r="J699">
        <f t="shared" si="81"/>
        <v>0</v>
      </c>
      <c r="K699">
        <f t="shared" si="82"/>
        <v>0</v>
      </c>
      <c r="L699">
        <f t="shared" si="75"/>
        <v>-3</v>
      </c>
    </row>
    <row r="700" spans="1:12" x14ac:dyDescent="0.25">
      <c r="A700">
        <v>37</v>
      </c>
      <c r="B700" s="1">
        <v>45627</v>
      </c>
      <c r="C700" t="s">
        <v>29</v>
      </c>
      <c r="D700">
        <v>9</v>
      </c>
      <c r="E700">
        <v>7</v>
      </c>
      <c r="F700" t="s">
        <v>82</v>
      </c>
      <c r="G700">
        <f t="shared" si="83"/>
        <v>2</v>
      </c>
      <c r="H700">
        <f t="shared" si="84"/>
        <v>0</v>
      </c>
      <c r="I700">
        <f t="shared" si="85"/>
        <v>2</v>
      </c>
      <c r="J700">
        <f t="shared" si="81"/>
        <v>0</v>
      </c>
      <c r="K700">
        <f t="shared" si="82"/>
        <v>0</v>
      </c>
      <c r="L700">
        <f t="shared" si="75"/>
        <v>2</v>
      </c>
    </row>
    <row r="701" spans="1:12" x14ac:dyDescent="0.25">
      <c r="A701">
        <v>37</v>
      </c>
      <c r="B701" s="1">
        <v>45627</v>
      </c>
      <c r="C701" t="s">
        <v>29</v>
      </c>
      <c r="D701">
        <v>10</v>
      </c>
      <c r="E701">
        <v>10</v>
      </c>
      <c r="F701" t="s">
        <v>84</v>
      </c>
      <c r="G701">
        <f t="shared" si="83"/>
        <v>1</v>
      </c>
      <c r="H701">
        <f t="shared" si="84"/>
        <v>0</v>
      </c>
      <c r="I701">
        <f t="shared" si="85"/>
        <v>1</v>
      </c>
      <c r="J701">
        <f t="shared" si="81"/>
        <v>0</v>
      </c>
      <c r="K701">
        <f t="shared" si="82"/>
        <v>0</v>
      </c>
      <c r="L701">
        <f t="shared" si="75"/>
        <v>0</v>
      </c>
    </row>
    <row r="702" spans="1:12" x14ac:dyDescent="0.25">
      <c r="A702">
        <v>38</v>
      </c>
      <c r="B702" s="1">
        <v>45641</v>
      </c>
      <c r="C702" t="s">
        <v>4</v>
      </c>
      <c r="D702">
        <v>1</v>
      </c>
      <c r="E702">
        <v>1</v>
      </c>
      <c r="F702" t="s">
        <v>12</v>
      </c>
      <c r="G702">
        <f t="shared" si="83"/>
        <v>10</v>
      </c>
      <c r="H702">
        <f t="shared" si="84"/>
        <v>9</v>
      </c>
      <c r="I702">
        <f t="shared" si="85"/>
        <v>19</v>
      </c>
      <c r="J702">
        <f t="shared" ref="J702:J721" si="86">COUNTIF(D702,"=1")</f>
        <v>1</v>
      </c>
      <c r="K702">
        <f t="shared" ref="K702:K721" si="87">COUNTIF(D702,"&lt;4")</f>
        <v>1</v>
      </c>
      <c r="L702">
        <f t="shared" ref="L702:L721" si="88">D702-E702</f>
        <v>0</v>
      </c>
    </row>
    <row r="703" spans="1:12" x14ac:dyDescent="0.25">
      <c r="A703">
        <v>38</v>
      </c>
      <c r="B703" s="1">
        <v>45641</v>
      </c>
      <c r="C703" t="s">
        <v>4</v>
      </c>
      <c r="D703">
        <v>2</v>
      </c>
      <c r="E703">
        <v>2</v>
      </c>
      <c r="F703" t="s">
        <v>10</v>
      </c>
      <c r="G703">
        <f t="shared" si="83"/>
        <v>9</v>
      </c>
      <c r="H703">
        <f t="shared" si="84"/>
        <v>7</v>
      </c>
      <c r="I703">
        <f t="shared" si="85"/>
        <v>16</v>
      </c>
      <c r="J703">
        <f t="shared" si="86"/>
        <v>0</v>
      </c>
      <c r="K703">
        <f t="shared" si="87"/>
        <v>1</v>
      </c>
      <c r="L703">
        <f t="shared" si="88"/>
        <v>0</v>
      </c>
    </row>
    <row r="704" spans="1:12" x14ac:dyDescent="0.25">
      <c r="A704">
        <v>38</v>
      </c>
      <c r="B704" s="1">
        <v>45641</v>
      </c>
      <c r="C704" t="s">
        <v>4</v>
      </c>
      <c r="D704">
        <v>3</v>
      </c>
      <c r="E704">
        <v>4</v>
      </c>
      <c r="F704" t="s">
        <v>14</v>
      </c>
      <c r="G704">
        <f t="shared" si="83"/>
        <v>8</v>
      </c>
      <c r="H704">
        <f t="shared" si="84"/>
        <v>5</v>
      </c>
      <c r="I704">
        <f t="shared" si="85"/>
        <v>13</v>
      </c>
      <c r="J704">
        <f t="shared" si="86"/>
        <v>0</v>
      </c>
      <c r="K704">
        <f t="shared" si="87"/>
        <v>1</v>
      </c>
      <c r="L704">
        <f t="shared" si="88"/>
        <v>-1</v>
      </c>
    </row>
    <row r="705" spans="1:12" x14ac:dyDescent="0.25">
      <c r="A705">
        <v>38</v>
      </c>
      <c r="B705" s="1">
        <v>45641</v>
      </c>
      <c r="C705" t="s">
        <v>4</v>
      </c>
      <c r="D705">
        <v>4</v>
      </c>
      <c r="E705">
        <v>3</v>
      </c>
      <c r="F705" t="s">
        <v>9</v>
      </c>
      <c r="G705">
        <f t="shared" si="83"/>
        <v>7</v>
      </c>
      <c r="H705">
        <f t="shared" si="84"/>
        <v>3</v>
      </c>
      <c r="I705">
        <f t="shared" si="85"/>
        <v>10</v>
      </c>
      <c r="J705">
        <f t="shared" si="86"/>
        <v>0</v>
      </c>
      <c r="K705">
        <f t="shared" si="87"/>
        <v>0</v>
      </c>
      <c r="L705">
        <f t="shared" si="88"/>
        <v>1</v>
      </c>
    </row>
    <row r="706" spans="1:12" x14ac:dyDescent="0.25">
      <c r="A706">
        <v>38</v>
      </c>
      <c r="B706" s="1">
        <v>45641</v>
      </c>
      <c r="C706" t="s">
        <v>4</v>
      </c>
      <c r="D706">
        <v>5</v>
      </c>
      <c r="E706">
        <v>8</v>
      </c>
      <c r="F706" t="s">
        <v>83</v>
      </c>
      <c r="G706">
        <f t="shared" si="83"/>
        <v>6</v>
      </c>
      <c r="H706">
        <f t="shared" si="84"/>
        <v>1</v>
      </c>
      <c r="I706">
        <f t="shared" si="85"/>
        <v>7</v>
      </c>
      <c r="J706">
        <f t="shared" si="86"/>
        <v>0</v>
      </c>
      <c r="K706">
        <f t="shared" si="87"/>
        <v>0</v>
      </c>
      <c r="L706">
        <f t="shared" si="88"/>
        <v>-3</v>
      </c>
    </row>
    <row r="707" spans="1:12" x14ac:dyDescent="0.25">
      <c r="A707">
        <v>38</v>
      </c>
      <c r="B707" s="1">
        <v>45641</v>
      </c>
      <c r="C707" t="s">
        <v>4</v>
      </c>
      <c r="D707">
        <v>6</v>
      </c>
      <c r="E707">
        <v>7</v>
      </c>
      <c r="F707" t="s">
        <v>18</v>
      </c>
      <c r="G707">
        <f t="shared" si="83"/>
        <v>5</v>
      </c>
      <c r="H707">
        <f t="shared" si="84"/>
        <v>0</v>
      </c>
      <c r="I707">
        <f t="shared" si="85"/>
        <v>5</v>
      </c>
      <c r="J707">
        <f t="shared" si="86"/>
        <v>0</v>
      </c>
      <c r="K707">
        <f t="shared" si="87"/>
        <v>0</v>
      </c>
      <c r="L707">
        <f t="shared" si="88"/>
        <v>-1</v>
      </c>
    </row>
    <row r="708" spans="1:12" x14ac:dyDescent="0.25">
      <c r="A708">
        <v>38</v>
      </c>
      <c r="B708" s="1">
        <v>45641</v>
      </c>
      <c r="C708" t="s">
        <v>4</v>
      </c>
      <c r="D708">
        <v>7</v>
      </c>
      <c r="E708">
        <v>5</v>
      </c>
      <c r="F708" t="s">
        <v>15</v>
      </c>
      <c r="G708">
        <f t="shared" si="83"/>
        <v>4</v>
      </c>
      <c r="H708">
        <f t="shared" si="84"/>
        <v>0</v>
      </c>
      <c r="I708">
        <f t="shared" si="85"/>
        <v>4</v>
      </c>
      <c r="J708">
        <f t="shared" si="86"/>
        <v>0</v>
      </c>
      <c r="K708">
        <f t="shared" si="87"/>
        <v>0</v>
      </c>
      <c r="L708">
        <f t="shared" si="88"/>
        <v>2</v>
      </c>
    </row>
    <row r="709" spans="1:12" x14ac:dyDescent="0.25">
      <c r="A709">
        <v>38</v>
      </c>
      <c r="B709" s="1">
        <v>45641</v>
      </c>
      <c r="C709" t="s">
        <v>4</v>
      </c>
      <c r="D709">
        <v>8</v>
      </c>
      <c r="E709">
        <v>6</v>
      </c>
      <c r="F709" t="s">
        <v>11</v>
      </c>
      <c r="G709">
        <f t="shared" si="83"/>
        <v>3</v>
      </c>
      <c r="H709">
        <f t="shared" si="84"/>
        <v>0</v>
      </c>
      <c r="I709">
        <f t="shared" si="85"/>
        <v>3</v>
      </c>
      <c r="J709">
        <f t="shared" si="86"/>
        <v>0</v>
      </c>
      <c r="K709">
        <f t="shared" si="87"/>
        <v>0</v>
      </c>
      <c r="L709">
        <f t="shared" si="88"/>
        <v>2</v>
      </c>
    </row>
    <row r="710" spans="1:12" x14ac:dyDescent="0.25">
      <c r="A710">
        <v>38</v>
      </c>
      <c r="B710" s="1">
        <v>45641</v>
      </c>
      <c r="C710" t="s">
        <v>4</v>
      </c>
      <c r="D710">
        <v>9</v>
      </c>
      <c r="E710">
        <v>11</v>
      </c>
      <c r="F710" t="s">
        <v>110</v>
      </c>
      <c r="G710">
        <f t="shared" si="83"/>
        <v>2</v>
      </c>
      <c r="H710">
        <f t="shared" si="84"/>
        <v>0</v>
      </c>
      <c r="I710">
        <f t="shared" si="85"/>
        <v>2</v>
      </c>
      <c r="J710">
        <f t="shared" si="86"/>
        <v>0</v>
      </c>
      <c r="K710">
        <f t="shared" si="87"/>
        <v>0</v>
      </c>
      <c r="L710">
        <f t="shared" si="88"/>
        <v>-2</v>
      </c>
    </row>
    <row r="711" spans="1:12" x14ac:dyDescent="0.25">
      <c r="A711">
        <v>38</v>
      </c>
      <c r="B711" s="1">
        <v>45641</v>
      </c>
      <c r="C711" t="s">
        <v>4</v>
      </c>
      <c r="D711">
        <v>10</v>
      </c>
      <c r="E711">
        <v>10</v>
      </c>
      <c r="F711" t="s">
        <v>16</v>
      </c>
      <c r="G711">
        <f t="shared" si="83"/>
        <v>1</v>
      </c>
      <c r="H711">
        <f t="shared" si="84"/>
        <v>0</v>
      </c>
      <c r="I711">
        <f t="shared" si="85"/>
        <v>1</v>
      </c>
      <c r="J711">
        <f t="shared" si="86"/>
        <v>0</v>
      </c>
      <c r="K711">
        <f t="shared" si="87"/>
        <v>0</v>
      </c>
      <c r="L711">
        <f t="shared" si="88"/>
        <v>0</v>
      </c>
    </row>
    <row r="712" spans="1:12" x14ac:dyDescent="0.25">
      <c r="A712">
        <v>38</v>
      </c>
      <c r="B712" s="1">
        <v>45641</v>
      </c>
      <c r="C712" t="s">
        <v>29</v>
      </c>
      <c r="D712">
        <v>1</v>
      </c>
      <c r="E712">
        <v>1</v>
      </c>
      <c r="F712" t="s">
        <v>32</v>
      </c>
      <c r="G712">
        <f t="shared" si="83"/>
        <v>10</v>
      </c>
      <c r="H712">
        <f t="shared" si="84"/>
        <v>9</v>
      </c>
      <c r="I712">
        <f t="shared" si="85"/>
        <v>19</v>
      </c>
      <c r="J712">
        <f t="shared" si="86"/>
        <v>1</v>
      </c>
      <c r="K712">
        <f t="shared" si="87"/>
        <v>1</v>
      </c>
      <c r="L712">
        <f t="shared" si="88"/>
        <v>0</v>
      </c>
    </row>
    <row r="713" spans="1:12" x14ac:dyDescent="0.25">
      <c r="A713">
        <v>38</v>
      </c>
      <c r="B713" s="1">
        <v>45641</v>
      </c>
      <c r="C713" t="s">
        <v>29</v>
      </c>
      <c r="D713">
        <v>2</v>
      </c>
      <c r="E713">
        <v>3</v>
      </c>
      <c r="F713" t="s">
        <v>34</v>
      </c>
      <c r="G713">
        <f t="shared" si="83"/>
        <v>9</v>
      </c>
      <c r="H713">
        <f t="shared" si="84"/>
        <v>7</v>
      </c>
      <c r="I713">
        <f t="shared" si="85"/>
        <v>16</v>
      </c>
      <c r="J713">
        <f t="shared" si="86"/>
        <v>0</v>
      </c>
      <c r="K713">
        <f t="shared" si="87"/>
        <v>1</v>
      </c>
      <c r="L713">
        <f t="shared" si="88"/>
        <v>-1</v>
      </c>
    </row>
    <row r="714" spans="1:12" x14ac:dyDescent="0.25">
      <c r="A714">
        <v>38</v>
      </c>
      <c r="B714" s="1">
        <v>45641</v>
      </c>
      <c r="C714" t="s">
        <v>29</v>
      </c>
      <c r="D714">
        <v>3</v>
      </c>
      <c r="E714">
        <v>4</v>
      </c>
      <c r="F714" t="s">
        <v>37</v>
      </c>
      <c r="G714">
        <f t="shared" ref="G714:G733" si="89">11-D714</f>
        <v>8</v>
      </c>
      <c r="H714">
        <f t="shared" ref="H714:H733" si="90">IF(D714&lt;6,11-2*D714,0)</f>
        <v>5</v>
      </c>
      <c r="I714">
        <f t="shared" ref="I714:I733" si="91">G714+H714</f>
        <v>13</v>
      </c>
      <c r="J714">
        <f t="shared" si="86"/>
        <v>0</v>
      </c>
      <c r="K714">
        <f t="shared" si="87"/>
        <v>1</v>
      </c>
      <c r="L714">
        <f t="shared" si="88"/>
        <v>-1</v>
      </c>
    </row>
    <row r="715" spans="1:12" x14ac:dyDescent="0.25">
      <c r="A715">
        <v>38</v>
      </c>
      <c r="B715" s="1">
        <v>45641</v>
      </c>
      <c r="C715" t="s">
        <v>29</v>
      </c>
      <c r="D715">
        <v>4</v>
      </c>
      <c r="E715">
        <v>6</v>
      </c>
      <c r="F715" t="s">
        <v>81</v>
      </c>
      <c r="G715">
        <f t="shared" si="89"/>
        <v>7</v>
      </c>
      <c r="H715">
        <f t="shared" si="90"/>
        <v>3</v>
      </c>
      <c r="I715">
        <f t="shared" si="91"/>
        <v>10</v>
      </c>
      <c r="J715">
        <f t="shared" si="86"/>
        <v>0</v>
      </c>
      <c r="K715">
        <f t="shared" si="87"/>
        <v>0</v>
      </c>
      <c r="L715">
        <f t="shared" si="88"/>
        <v>-2</v>
      </c>
    </row>
    <row r="716" spans="1:12" x14ac:dyDescent="0.25">
      <c r="A716">
        <v>38</v>
      </c>
      <c r="B716" s="1">
        <v>45641</v>
      </c>
      <c r="C716" t="s">
        <v>29</v>
      </c>
      <c r="D716">
        <v>5</v>
      </c>
      <c r="E716">
        <v>5</v>
      </c>
      <c r="F716" t="s">
        <v>35</v>
      </c>
      <c r="G716">
        <f t="shared" si="89"/>
        <v>6</v>
      </c>
      <c r="H716">
        <f t="shared" si="90"/>
        <v>1</v>
      </c>
      <c r="I716">
        <f t="shared" si="91"/>
        <v>7</v>
      </c>
      <c r="J716">
        <f t="shared" si="86"/>
        <v>0</v>
      </c>
      <c r="K716">
        <f t="shared" si="87"/>
        <v>0</v>
      </c>
      <c r="L716">
        <f t="shared" si="88"/>
        <v>0</v>
      </c>
    </row>
    <row r="717" spans="1:12" x14ac:dyDescent="0.25">
      <c r="A717">
        <v>38</v>
      </c>
      <c r="B717" s="1">
        <v>45641</v>
      </c>
      <c r="C717" t="s">
        <v>29</v>
      </c>
      <c r="D717">
        <v>6</v>
      </c>
      <c r="E717">
        <v>2</v>
      </c>
      <c r="F717" t="s">
        <v>30</v>
      </c>
      <c r="G717">
        <f t="shared" si="89"/>
        <v>5</v>
      </c>
      <c r="H717">
        <f t="shared" si="90"/>
        <v>0</v>
      </c>
      <c r="I717">
        <f t="shared" si="91"/>
        <v>5</v>
      </c>
      <c r="J717">
        <f t="shared" si="86"/>
        <v>0</v>
      </c>
      <c r="K717">
        <f t="shared" si="87"/>
        <v>0</v>
      </c>
      <c r="L717">
        <f t="shared" si="88"/>
        <v>4</v>
      </c>
    </row>
    <row r="718" spans="1:12" x14ac:dyDescent="0.25">
      <c r="A718">
        <v>38</v>
      </c>
      <c r="B718" s="1">
        <v>45641</v>
      </c>
      <c r="C718" t="s">
        <v>29</v>
      </c>
      <c r="D718">
        <v>7</v>
      </c>
      <c r="E718">
        <v>8</v>
      </c>
      <c r="F718" t="s">
        <v>104</v>
      </c>
      <c r="G718">
        <f t="shared" si="89"/>
        <v>4</v>
      </c>
      <c r="H718">
        <f t="shared" si="90"/>
        <v>0</v>
      </c>
      <c r="I718">
        <f t="shared" si="91"/>
        <v>4</v>
      </c>
      <c r="J718">
        <f t="shared" si="86"/>
        <v>0</v>
      </c>
      <c r="K718">
        <f t="shared" si="87"/>
        <v>0</v>
      </c>
      <c r="L718">
        <f t="shared" si="88"/>
        <v>-1</v>
      </c>
    </row>
    <row r="719" spans="1:12" x14ac:dyDescent="0.25">
      <c r="A719">
        <v>38</v>
      </c>
      <c r="B719" s="1">
        <v>45641</v>
      </c>
      <c r="C719" t="s">
        <v>29</v>
      </c>
      <c r="D719">
        <v>8</v>
      </c>
      <c r="E719">
        <v>11</v>
      </c>
      <c r="F719" t="s">
        <v>112</v>
      </c>
      <c r="G719">
        <f t="shared" si="89"/>
        <v>3</v>
      </c>
      <c r="H719">
        <f t="shared" si="90"/>
        <v>0</v>
      </c>
      <c r="I719">
        <f t="shared" si="91"/>
        <v>3</v>
      </c>
      <c r="J719">
        <f t="shared" si="86"/>
        <v>0</v>
      </c>
      <c r="K719">
        <f t="shared" si="87"/>
        <v>0</v>
      </c>
      <c r="L719">
        <f t="shared" si="88"/>
        <v>-3</v>
      </c>
    </row>
    <row r="720" spans="1:12" x14ac:dyDescent="0.25">
      <c r="A720">
        <v>38</v>
      </c>
      <c r="B720" s="1">
        <v>45641</v>
      </c>
      <c r="C720" t="s">
        <v>29</v>
      </c>
      <c r="D720">
        <v>9</v>
      </c>
      <c r="E720">
        <v>7</v>
      </c>
      <c r="F720" t="s">
        <v>31</v>
      </c>
      <c r="G720">
        <f t="shared" si="89"/>
        <v>2</v>
      </c>
      <c r="H720">
        <f t="shared" si="90"/>
        <v>0</v>
      </c>
      <c r="I720">
        <f t="shared" si="91"/>
        <v>2</v>
      </c>
      <c r="J720">
        <f t="shared" si="86"/>
        <v>0</v>
      </c>
      <c r="K720">
        <f t="shared" si="87"/>
        <v>0</v>
      </c>
      <c r="L720">
        <f t="shared" si="88"/>
        <v>2</v>
      </c>
    </row>
    <row r="721" spans="1:12" x14ac:dyDescent="0.25">
      <c r="A721">
        <v>38</v>
      </c>
      <c r="B721" s="1">
        <v>45641</v>
      </c>
      <c r="C721" t="s">
        <v>29</v>
      </c>
      <c r="D721">
        <v>10</v>
      </c>
      <c r="E721">
        <v>11</v>
      </c>
      <c r="F721" t="s">
        <v>111</v>
      </c>
      <c r="G721">
        <f t="shared" si="89"/>
        <v>1</v>
      </c>
      <c r="H721">
        <f t="shared" si="90"/>
        <v>0</v>
      </c>
      <c r="I721">
        <f t="shared" si="91"/>
        <v>1</v>
      </c>
      <c r="J721">
        <f t="shared" si="86"/>
        <v>0</v>
      </c>
      <c r="K721">
        <f t="shared" si="87"/>
        <v>0</v>
      </c>
      <c r="L721">
        <f t="shared" si="88"/>
        <v>-1</v>
      </c>
    </row>
    <row r="722" spans="1:12" x14ac:dyDescent="0.25">
      <c r="A722">
        <v>39</v>
      </c>
      <c r="B722" s="1">
        <v>45648</v>
      </c>
      <c r="C722" t="s">
        <v>4</v>
      </c>
      <c r="D722">
        <v>1</v>
      </c>
      <c r="E722">
        <v>1</v>
      </c>
      <c r="F722" t="s">
        <v>12</v>
      </c>
      <c r="G722">
        <f t="shared" si="89"/>
        <v>10</v>
      </c>
      <c r="H722">
        <f t="shared" si="90"/>
        <v>9</v>
      </c>
      <c r="I722">
        <f t="shared" si="91"/>
        <v>19</v>
      </c>
      <c r="J722">
        <f t="shared" ref="J722:J741" si="92">COUNTIF(D722,"=1")</f>
        <v>1</v>
      </c>
      <c r="K722">
        <f t="shared" ref="K722:K741" si="93">COUNTIF(D722,"&lt;4")</f>
        <v>1</v>
      </c>
      <c r="L722">
        <f t="shared" ref="L722:L741" si="94">D722-E722</f>
        <v>0</v>
      </c>
    </row>
    <row r="723" spans="1:12" x14ac:dyDescent="0.25">
      <c r="A723">
        <v>39</v>
      </c>
      <c r="B723" s="1">
        <v>45648</v>
      </c>
      <c r="C723" t="s">
        <v>4</v>
      </c>
      <c r="D723">
        <v>2</v>
      </c>
      <c r="E723">
        <v>2</v>
      </c>
      <c r="F723" t="s">
        <v>10</v>
      </c>
      <c r="G723">
        <f t="shared" si="89"/>
        <v>9</v>
      </c>
      <c r="H723">
        <f t="shared" si="90"/>
        <v>7</v>
      </c>
      <c r="I723">
        <f t="shared" si="91"/>
        <v>16</v>
      </c>
      <c r="J723">
        <f t="shared" si="92"/>
        <v>0</v>
      </c>
      <c r="K723">
        <f t="shared" si="93"/>
        <v>1</v>
      </c>
      <c r="L723">
        <f t="shared" si="94"/>
        <v>0</v>
      </c>
    </row>
    <row r="724" spans="1:12" x14ac:dyDescent="0.25">
      <c r="A724">
        <v>39</v>
      </c>
      <c r="B724" s="1">
        <v>45648</v>
      </c>
      <c r="C724" t="s">
        <v>4</v>
      </c>
      <c r="D724">
        <v>3</v>
      </c>
      <c r="E724">
        <v>3</v>
      </c>
      <c r="F724" t="s">
        <v>14</v>
      </c>
      <c r="G724">
        <f t="shared" si="89"/>
        <v>8</v>
      </c>
      <c r="H724">
        <f t="shared" si="90"/>
        <v>5</v>
      </c>
      <c r="I724">
        <f t="shared" si="91"/>
        <v>13</v>
      </c>
      <c r="J724">
        <f t="shared" si="92"/>
        <v>0</v>
      </c>
      <c r="K724">
        <f t="shared" si="93"/>
        <v>1</v>
      </c>
      <c r="L724">
        <f t="shared" si="94"/>
        <v>0</v>
      </c>
    </row>
    <row r="725" spans="1:12" x14ac:dyDescent="0.25">
      <c r="A725">
        <v>39</v>
      </c>
      <c r="B725" s="1">
        <v>45648</v>
      </c>
      <c r="C725" t="s">
        <v>4</v>
      </c>
      <c r="D725">
        <v>4</v>
      </c>
      <c r="E725">
        <v>5</v>
      </c>
      <c r="F725" t="s">
        <v>83</v>
      </c>
      <c r="G725">
        <f t="shared" si="89"/>
        <v>7</v>
      </c>
      <c r="H725">
        <f t="shared" si="90"/>
        <v>3</v>
      </c>
      <c r="I725">
        <f t="shared" si="91"/>
        <v>10</v>
      </c>
      <c r="J725">
        <f t="shared" si="92"/>
        <v>0</v>
      </c>
      <c r="K725">
        <f t="shared" si="93"/>
        <v>0</v>
      </c>
      <c r="L725">
        <f t="shared" si="94"/>
        <v>-1</v>
      </c>
    </row>
    <row r="726" spans="1:12" x14ac:dyDescent="0.25">
      <c r="A726">
        <v>39</v>
      </c>
      <c r="B726" s="1">
        <v>45648</v>
      </c>
      <c r="C726" t="s">
        <v>4</v>
      </c>
      <c r="D726">
        <v>5</v>
      </c>
      <c r="E726">
        <v>4</v>
      </c>
      <c r="F726" t="s">
        <v>9</v>
      </c>
      <c r="G726">
        <f t="shared" si="89"/>
        <v>6</v>
      </c>
      <c r="H726">
        <f t="shared" si="90"/>
        <v>1</v>
      </c>
      <c r="I726">
        <f t="shared" si="91"/>
        <v>7</v>
      </c>
      <c r="J726">
        <f t="shared" si="92"/>
        <v>0</v>
      </c>
      <c r="K726">
        <f t="shared" si="93"/>
        <v>0</v>
      </c>
      <c r="L726">
        <f t="shared" si="94"/>
        <v>1</v>
      </c>
    </row>
    <row r="727" spans="1:12" x14ac:dyDescent="0.25">
      <c r="A727">
        <v>39</v>
      </c>
      <c r="B727" s="1">
        <v>45648</v>
      </c>
      <c r="C727" t="s">
        <v>4</v>
      </c>
      <c r="D727">
        <v>6</v>
      </c>
      <c r="E727">
        <v>6</v>
      </c>
      <c r="F727" t="s">
        <v>18</v>
      </c>
      <c r="G727">
        <f t="shared" si="89"/>
        <v>5</v>
      </c>
      <c r="H727">
        <f t="shared" si="90"/>
        <v>0</v>
      </c>
      <c r="I727">
        <f t="shared" si="91"/>
        <v>5</v>
      </c>
      <c r="J727">
        <f t="shared" si="92"/>
        <v>0</v>
      </c>
      <c r="K727">
        <f t="shared" si="93"/>
        <v>0</v>
      </c>
      <c r="L727">
        <f t="shared" si="94"/>
        <v>0</v>
      </c>
    </row>
    <row r="728" spans="1:12" x14ac:dyDescent="0.25">
      <c r="A728">
        <v>39</v>
      </c>
      <c r="B728" s="1">
        <v>45648</v>
      </c>
      <c r="C728" t="s">
        <v>4</v>
      </c>
      <c r="D728">
        <v>7</v>
      </c>
      <c r="E728">
        <v>7</v>
      </c>
      <c r="F728" t="s">
        <v>15</v>
      </c>
      <c r="G728">
        <f t="shared" si="89"/>
        <v>4</v>
      </c>
      <c r="H728">
        <f t="shared" si="90"/>
        <v>0</v>
      </c>
      <c r="I728">
        <f t="shared" si="91"/>
        <v>4</v>
      </c>
      <c r="J728">
        <f t="shared" si="92"/>
        <v>0</v>
      </c>
      <c r="K728">
        <f t="shared" si="93"/>
        <v>0</v>
      </c>
      <c r="L728">
        <f t="shared" si="94"/>
        <v>0</v>
      </c>
    </row>
    <row r="729" spans="1:12" x14ac:dyDescent="0.25">
      <c r="A729">
        <v>39</v>
      </c>
      <c r="B729" s="1">
        <v>45648</v>
      </c>
      <c r="C729" t="s">
        <v>4</v>
      </c>
      <c r="D729">
        <v>8</v>
      </c>
      <c r="E729">
        <v>8</v>
      </c>
      <c r="F729" t="s">
        <v>11</v>
      </c>
      <c r="G729">
        <f t="shared" si="89"/>
        <v>3</v>
      </c>
      <c r="H729">
        <f t="shared" si="90"/>
        <v>0</v>
      </c>
      <c r="I729">
        <f t="shared" si="91"/>
        <v>3</v>
      </c>
      <c r="J729">
        <f t="shared" si="92"/>
        <v>0</v>
      </c>
      <c r="K729">
        <f t="shared" si="93"/>
        <v>0</v>
      </c>
      <c r="L729">
        <f t="shared" si="94"/>
        <v>0</v>
      </c>
    </row>
    <row r="730" spans="1:12" x14ac:dyDescent="0.25">
      <c r="A730">
        <v>39</v>
      </c>
      <c r="B730" s="1">
        <v>45648</v>
      </c>
      <c r="C730" t="s">
        <v>4</v>
      </c>
      <c r="D730">
        <v>9</v>
      </c>
      <c r="E730">
        <v>9</v>
      </c>
      <c r="F730" t="s">
        <v>110</v>
      </c>
      <c r="G730">
        <f t="shared" si="89"/>
        <v>2</v>
      </c>
      <c r="H730">
        <f t="shared" si="90"/>
        <v>0</v>
      </c>
      <c r="I730">
        <f t="shared" si="91"/>
        <v>2</v>
      </c>
      <c r="J730">
        <f t="shared" si="92"/>
        <v>0</v>
      </c>
      <c r="K730">
        <f t="shared" si="93"/>
        <v>0</v>
      </c>
      <c r="L730">
        <f t="shared" si="94"/>
        <v>0</v>
      </c>
    </row>
    <row r="731" spans="1:12" x14ac:dyDescent="0.25">
      <c r="A731">
        <v>39</v>
      </c>
      <c r="B731" s="1">
        <v>45648</v>
      </c>
      <c r="C731" t="s">
        <v>4</v>
      </c>
      <c r="D731">
        <v>10</v>
      </c>
      <c r="E731">
        <v>11</v>
      </c>
      <c r="F731" t="s">
        <v>113</v>
      </c>
      <c r="G731">
        <f t="shared" si="89"/>
        <v>1</v>
      </c>
      <c r="H731">
        <f t="shared" si="90"/>
        <v>0</v>
      </c>
      <c r="I731">
        <f t="shared" si="91"/>
        <v>1</v>
      </c>
      <c r="J731">
        <f t="shared" si="92"/>
        <v>0</v>
      </c>
      <c r="K731">
        <f t="shared" si="93"/>
        <v>0</v>
      </c>
      <c r="L731">
        <f t="shared" si="94"/>
        <v>-1</v>
      </c>
    </row>
    <row r="732" spans="1:12" x14ac:dyDescent="0.25">
      <c r="A732">
        <v>39</v>
      </c>
      <c r="B732" s="1">
        <v>45648</v>
      </c>
      <c r="C732" t="s">
        <v>29</v>
      </c>
      <c r="D732">
        <v>1</v>
      </c>
      <c r="E732">
        <v>1</v>
      </c>
      <c r="F732" t="s">
        <v>32</v>
      </c>
      <c r="G732">
        <f t="shared" si="89"/>
        <v>10</v>
      </c>
      <c r="H732">
        <f t="shared" si="90"/>
        <v>9</v>
      </c>
      <c r="I732">
        <f t="shared" si="91"/>
        <v>19</v>
      </c>
      <c r="J732">
        <f t="shared" si="92"/>
        <v>1</v>
      </c>
      <c r="K732">
        <f t="shared" si="93"/>
        <v>1</v>
      </c>
      <c r="L732">
        <f t="shared" si="94"/>
        <v>0</v>
      </c>
    </row>
    <row r="733" spans="1:12" x14ac:dyDescent="0.25">
      <c r="A733">
        <v>39</v>
      </c>
      <c r="B733" s="1">
        <v>45648</v>
      </c>
      <c r="C733" t="s">
        <v>29</v>
      </c>
      <c r="D733">
        <v>2</v>
      </c>
      <c r="E733">
        <v>2</v>
      </c>
      <c r="F733" t="s">
        <v>34</v>
      </c>
      <c r="G733">
        <f t="shared" si="89"/>
        <v>9</v>
      </c>
      <c r="H733">
        <f t="shared" si="90"/>
        <v>7</v>
      </c>
      <c r="I733">
        <f t="shared" si="91"/>
        <v>16</v>
      </c>
      <c r="J733">
        <f t="shared" si="92"/>
        <v>0</v>
      </c>
      <c r="K733">
        <f t="shared" si="93"/>
        <v>1</v>
      </c>
      <c r="L733">
        <f t="shared" si="94"/>
        <v>0</v>
      </c>
    </row>
    <row r="734" spans="1:12" x14ac:dyDescent="0.25">
      <c r="A734">
        <v>39</v>
      </c>
      <c r="B734" s="1">
        <v>45648</v>
      </c>
      <c r="C734" t="s">
        <v>29</v>
      </c>
      <c r="D734">
        <v>3</v>
      </c>
      <c r="E734">
        <v>4</v>
      </c>
      <c r="F734" t="s">
        <v>81</v>
      </c>
      <c r="G734">
        <f t="shared" ref="G734:G753" si="95">11-D734</f>
        <v>8</v>
      </c>
      <c r="H734">
        <f t="shared" ref="H734:H753" si="96">IF(D734&lt;6,11-2*D734,0)</f>
        <v>5</v>
      </c>
      <c r="I734">
        <f t="shared" ref="I734:I753" si="97">G734+H734</f>
        <v>13</v>
      </c>
      <c r="J734">
        <f t="shared" si="92"/>
        <v>0</v>
      </c>
      <c r="K734">
        <f t="shared" si="93"/>
        <v>1</v>
      </c>
      <c r="L734">
        <f t="shared" si="94"/>
        <v>-1</v>
      </c>
    </row>
    <row r="735" spans="1:12" x14ac:dyDescent="0.25">
      <c r="A735">
        <v>39</v>
      </c>
      <c r="B735" s="1">
        <v>45648</v>
      </c>
      <c r="C735" t="s">
        <v>29</v>
      </c>
      <c r="D735">
        <v>4</v>
      </c>
      <c r="E735">
        <v>3</v>
      </c>
      <c r="F735" t="s">
        <v>37</v>
      </c>
      <c r="G735">
        <f t="shared" si="95"/>
        <v>7</v>
      </c>
      <c r="H735">
        <f t="shared" si="96"/>
        <v>3</v>
      </c>
      <c r="I735">
        <f t="shared" si="97"/>
        <v>10</v>
      </c>
      <c r="J735">
        <f t="shared" si="92"/>
        <v>0</v>
      </c>
      <c r="K735">
        <f t="shared" si="93"/>
        <v>0</v>
      </c>
      <c r="L735">
        <f t="shared" si="94"/>
        <v>1</v>
      </c>
    </row>
    <row r="736" spans="1:12" x14ac:dyDescent="0.25">
      <c r="A736">
        <v>39</v>
      </c>
      <c r="B736" s="1">
        <v>45648</v>
      </c>
      <c r="C736" t="s">
        <v>29</v>
      </c>
      <c r="D736">
        <v>5</v>
      </c>
      <c r="E736">
        <v>8</v>
      </c>
      <c r="F736" t="s">
        <v>112</v>
      </c>
      <c r="G736">
        <f t="shared" si="95"/>
        <v>6</v>
      </c>
      <c r="H736">
        <f t="shared" si="96"/>
        <v>1</v>
      </c>
      <c r="I736">
        <f t="shared" si="97"/>
        <v>7</v>
      </c>
      <c r="J736">
        <f t="shared" si="92"/>
        <v>0</v>
      </c>
      <c r="K736">
        <f t="shared" si="93"/>
        <v>0</v>
      </c>
      <c r="L736">
        <f t="shared" si="94"/>
        <v>-3</v>
      </c>
    </row>
    <row r="737" spans="1:12" x14ac:dyDescent="0.25">
      <c r="A737">
        <v>39</v>
      </c>
      <c r="B737" s="1">
        <v>45648</v>
      </c>
      <c r="C737" t="s">
        <v>29</v>
      </c>
      <c r="D737">
        <v>6</v>
      </c>
      <c r="E737">
        <v>11</v>
      </c>
      <c r="F737" t="s">
        <v>114</v>
      </c>
      <c r="G737">
        <f t="shared" si="95"/>
        <v>5</v>
      </c>
      <c r="H737">
        <f t="shared" si="96"/>
        <v>0</v>
      </c>
      <c r="I737">
        <f t="shared" si="97"/>
        <v>5</v>
      </c>
      <c r="J737">
        <f t="shared" si="92"/>
        <v>0</v>
      </c>
      <c r="K737">
        <f t="shared" si="93"/>
        <v>0</v>
      </c>
      <c r="L737">
        <f t="shared" si="94"/>
        <v>-5</v>
      </c>
    </row>
    <row r="738" spans="1:12" x14ac:dyDescent="0.25">
      <c r="A738">
        <v>39</v>
      </c>
      <c r="B738" s="1">
        <v>45648</v>
      </c>
      <c r="C738" t="s">
        <v>29</v>
      </c>
      <c r="D738">
        <v>7</v>
      </c>
      <c r="E738">
        <v>5</v>
      </c>
      <c r="F738" t="s">
        <v>35</v>
      </c>
      <c r="G738">
        <f t="shared" si="95"/>
        <v>4</v>
      </c>
      <c r="H738">
        <f t="shared" si="96"/>
        <v>0</v>
      </c>
      <c r="I738">
        <f t="shared" si="97"/>
        <v>4</v>
      </c>
      <c r="J738">
        <f t="shared" si="92"/>
        <v>0</v>
      </c>
      <c r="K738">
        <f t="shared" si="93"/>
        <v>0</v>
      </c>
      <c r="L738">
        <f t="shared" si="94"/>
        <v>2</v>
      </c>
    </row>
    <row r="739" spans="1:12" x14ac:dyDescent="0.25">
      <c r="A739">
        <v>39</v>
      </c>
      <c r="B739" s="1">
        <v>45648</v>
      </c>
      <c r="C739" t="s">
        <v>29</v>
      </c>
      <c r="D739">
        <v>8</v>
      </c>
      <c r="E739">
        <v>7</v>
      </c>
      <c r="F739" t="s">
        <v>104</v>
      </c>
      <c r="G739">
        <f t="shared" si="95"/>
        <v>3</v>
      </c>
      <c r="H739">
        <f t="shared" si="96"/>
        <v>0</v>
      </c>
      <c r="I739">
        <f t="shared" si="97"/>
        <v>3</v>
      </c>
      <c r="J739">
        <f t="shared" si="92"/>
        <v>0</v>
      </c>
      <c r="K739">
        <f t="shared" si="93"/>
        <v>0</v>
      </c>
      <c r="L739">
        <f t="shared" si="94"/>
        <v>1</v>
      </c>
    </row>
    <row r="740" spans="1:12" x14ac:dyDescent="0.25">
      <c r="A740">
        <v>39</v>
      </c>
      <c r="B740" s="1">
        <v>45648</v>
      </c>
      <c r="C740" t="s">
        <v>29</v>
      </c>
      <c r="D740">
        <v>9</v>
      </c>
      <c r="E740">
        <v>10</v>
      </c>
      <c r="F740" t="s">
        <v>111</v>
      </c>
      <c r="G740">
        <f t="shared" si="95"/>
        <v>2</v>
      </c>
      <c r="H740">
        <f t="shared" si="96"/>
        <v>0</v>
      </c>
      <c r="I740">
        <f t="shared" si="97"/>
        <v>2</v>
      </c>
      <c r="J740">
        <f t="shared" si="92"/>
        <v>0</v>
      </c>
      <c r="K740">
        <f t="shared" si="93"/>
        <v>0</v>
      </c>
      <c r="L740">
        <f t="shared" si="94"/>
        <v>-1</v>
      </c>
    </row>
    <row r="741" spans="1:12" x14ac:dyDescent="0.25">
      <c r="A741">
        <v>39</v>
      </c>
      <c r="B741" s="1">
        <v>45648</v>
      </c>
      <c r="C741" t="s">
        <v>29</v>
      </c>
      <c r="D741">
        <v>10</v>
      </c>
      <c r="E741">
        <v>6</v>
      </c>
      <c r="F741" t="s">
        <v>30</v>
      </c>
      <c r="G741">
        <f t="shared" si="95"/>
        <v>1</v>
      </c>
      <c r="H741">
        <f t="shared" si="96"/>
        <v>0</v>
      </c>
      <c r="I741">
        <f t="shared" si="97"/>
        <v>1</v>
      </c>
      <c r="J741">
        <f t="shared" si="92"/>
        <v>0</v>
      </c>
      <c r="K741">
        <f t="shared" si="93"/>
        <v>0</v>
      </c>
      <c r="L741">
        <f t="shared" si="94"/>
        <v>4</v>
      </c>
    </row>
    <row r="742" spans="1:12" x14ac:dyDescent="0.25">
      <c r="A742">
        <v>40</v>
      </c>
      <c r="B742" s="1">
        <v>45655</v>
      </c>
      <c r="C742" t="s">
        <v>4</v>
      </c>
      <c r="D742">
        <v>1</v>
      </c>
      <c r="E742">
        <v>1</v>
      </c>
      <c r="F742" t="s">
        <v>12</v>
      </c>
      <c r="G742">
        <f t="shared" si="95"/>
        <v>10</v>
      </c>
      <c r="H742">
        <f t="shared" si="96"/>
        <v>9</v>
      </c>
      <c r="I742">
        <f t="shared" si="97"/>
        <v>19</v>
      </c>
      <c r="J742">
        <f t="shared" ref="J742:J761" si="98">COUNTIF(D742,"=1")</f>
        <v>1</v>
      </c>
      <c r="K742">
        <f t="shared" ref="K742:K761" si="99">COUNTIF(D742,"&lt;4")</f>
        <v>1</v>
      </c>
      <c r="L742">
        <f t="shared" ref="L742:L761" si="100">D742-E742</f>
        <v>0</v>
      </c>
    </row>
    <row r="743" spans="1:12" x14ac:dyDescent="0.25">
      <c r="A743">
        <v>40</v>
      </c>
      <c r="B743" s="1">
        <v>45655</v>
      </c>
      <c r="C743" t="s">
        <v>4</v>
      </c>
      <c r="D743">
        <v>2</v>
      </c>
      <c r="E743">
        <v>2</v>
      </c>
      <c r="F743" t="s">
        <v>10</v>
      </c>
      <c r="G743">
        <f t="shared" si="95"/>
        <v>9</v>
      </c>
      <c r="H743">
        <f t="shared" si="96"/>
        <v>7</v>
      </c>
      <c r="I743">
        <f t="shared" si="97"/>
        <v>16</v>
      </c>
      <c r="J743">
        <f t="shared" si="98"/>
        <v>0</v>
      </c>
      <c r="K743">
        <f t="shared" si="99"/>
        <v>1</v>
      </c>
      <c r="L743">
        <f t="shared" si="100"/>
        <v>0</v>
      </c>
    </row>
    <row r="744" spans="1:12" x14ac:dyDescent="0.25">
      <c r="A744">
        <v>40</v>
      </c>
      <c r="B744" s="1">
        <v>45655</v>
      </c>
      <c r="C744" t="s">
        <v>4</v>
      </c>
      <c r="D744">
        <v>3</v>
      </c>
      <c r="E744">
        <v>4</v>
      </c>
      <c r="F744" t="s">
        <v>83</v>
      </c>
      <c r="G744">
        <f t="shared" si="95"/>
        <v>8</v>
      </c>
      <c r="H744">
        <f t="shared" si="96"/>
        <v>5</v>
      </c>
      <c r="I744">
        <f t="shared" si="97"/>
        <v>13</v>
      </c>
      <c r="J744">
        <f t="shared" si="98"/>
        <v>0</v>
      </c>
      <c r="K744">
        <f t="shared" si="99"/>
        <v>1</v>
      </c>
      <c r="L744">
        <f t="shared" si="100"/>
        <v>-1</v>
      </c>
    </row>
    <row r="745" spans="1:12" x14ac:dyDescent="0.25">
      <c r="A745">
        <v>40</v>
      </c>
      <c r="B745" s="1">
        <v>45655</v>
      </c>
      <c r="C745" t="s">
        <v>4</v>
      </c>
      <c r="D745">
        <v>4</v>
      </c>
      <c r="E745">
        <v>3</v>
      </c>
      <c r="F745" t="s">
        <v>14</v>
      </c>
      <c r="G745">
        <f t="shared" si="95"/>
        <v>7</v>
      </c>
      <c r="H745">
        <f t="shared" si="96"/>
        <v>3</v>
      </c>
      <c r="I745">
        <f t="shared" si="97"/>
        <v>10</v>
      </c>
      <c r="J745">
        <f t="shared" si="98"/>
        <v>0</v>
      </c>
      <c r="K745">
        <f t="shared" si="99"/>
        <v>0</v>
      </c>
      <c r="L745">
        <f t="shared" si="100"/>
        <v>1</v>
      </c>
    </row>
    <row r="746" spans="1:12" x14ac:dyDescent="0.25">
      <c r="A746">
        <v>40</v>
      </c>
      <c r="B746" s="1">
        <v>45655</v>
      </c>
      <c r="C746" t="s">
        <v>4</v>
      </c>
      <c r="D746">
        <v>5</v>
      </c>
      <c r="E746">
        <v>6</v>
      </c>
      <c r="F746" t="s">
        <v>18</v>
      </c>
      <c r="G746">
        <f t="shared" si="95"/>
        <v>6</v>
      </c>
      <c r="H746">
        <f t="shared" si="96"/>
        <v>1</v>
      </c>
      <c r="I746">
        <f t="shared" si="97"/>
        <v>7</v>
      </c>
      <c r="J746">
        <f t="shared" si="98"/>
        <v>0</v>
      </c>
      <c r="K746">
        <f t="shared" si="99"/>
        <v>0</v>
      </c>
      <c r="L746">
        <f t="shared" si="100"/>
        <v>-1</v>
      </c>
    </row>
    <row r="747" spans="1:12" x14ac:dyDescent="0.25">
      <c r="A747">
        <v>40</v>
      </c>
      <c r="B747" s="1">
        <v>45655</v>
      </c>
      <c r="C747" t="s">
        <v>4</v>
      </c>
      <c r="D747">
        <v>6</v>
      </c>
      <c r="E747">
        <v>5</v>
      </c>
      <c r="F747" t="s">
        <v>9</v>
      </c>
      <c r="G747">
        <f t="shared" si="95"/>
        <v>5</v>
      </c>
      <c r="H747">
        <f t="shared" si="96"/>
        <v>0</v>
      </c>
      <c r="I747">
        <f t="shared" si="97"/>
        <v>5</v>
      </c>
      <c r="J747">
        <f t="shared" si="98"/>
        <v>0</v>
      </c>
      <c r="K747">
        <f t="shared" si="99"/>
        <v>0</v>
      </c>
      <c r="L747">
        <f t="shared" si="100"/>
        <v>1</v>
      </c>
    </row>
    <row r="748" spans="1:12" x14ac:dyDescent="0.25">
      <c r="A748">
        <v>40</v>
      </c>
      <c r="B748" s="1">
        <v>45655</v>
      </c>
      <c r="C748" t="s">
        <v>4</v>
      </c>
      <c r="D748">
        <v>7</v>
      </c>
      <c r="E748">
        <v>9</v>
      </c>
      <c r="F748" t="s">
        <v>110</v>
      </c>
      <c r="G748">
        <f t="shared" si="95"/>
        <v>4</v>
      </c>
      <c r="H748">
        <f t="shared" si="96"/>
        <v>0</v>
      </c>
      <c r="I748">
        <f t="shared" si="97"/>
        <v>4</v>
      </c>
      <c r="J748">
        <f t="shared" si="98"/>
        <v>0</v>
      </c>
      <c r="K748">
        <f t="shared" si="99"/>
        <v>0</v>
      </c>
      <c r="L748">
        <f t="shared" si="100"/>
        <v>-2</v>
      </c>
    </row>
    <row r="749" spans="1:12" x14ac:dyDescent="0.25">
      <c r="A749">
        <v>40</v>
      </c>
      <c r="B749" s="1">
        <v>45655</v>
      </c>
      <c r="C749" t="s">
        <v>4</v>
      </c>
      <c r="D749">
        <v>8</v>
      </c>
      <c r="E749">
        <v>10</v>
      </c>
      <c r="F749" t="s">
        <v>113</v>
      </c>
      <c r="G749">
        <f t="shared" si="95"/>
        <v>3</v>
      </c>
      <c r="H749">
        <f t="shared" si="96"/>
        <v>0</v>
      </c>
      <c r="I749">
        <f t="shared" si="97"/>
        <v>3</v>
      </c>
      <c r="J749">
        <f t="shared" si="98"/>
        <v>0</v>
      </c>
      <c r="K749">
        <f t="shared" si="99"/>
        <v>0</v>
      </c>
      <c r="L749">
        <f t="shared" si="100"/>
        <v>-2</v>
      </c>
    </row>
    <row r="750" spans="1:12" x14ac:dyDescent="0.25">
      <c r="A750">
        <v>40</v>
      </c>
      <c r="B750" s="1">
        <v>45655</v>
      </c>
      <c r="C750" t="s">
        <v>4</v>
      </c>
      <c r="D750">
        <v>9</v>
      </c>
      <c r="E750">
        <v>7</v>
      </c>
      <c r="F750" t="s">
        <v>15</v>
      </c>
      <c r="G750">
        <f t="shared" si="95"/>
        <v>2</v>
      </c>
      <c r="H750">
        <f t="shared" si="96"/>
        <v>0</v>
      </c>
      <c r="I750">
        <f t="shared" si="97"/>
        <v>2</v>
      </c>
      <c r="J750">
        <f t="shared" si="98"/>
        <v>0</v>
      </c>
      <c r="K750">
        <f t="shared" si="99"/>
        <v>0</v>
      </c>
      <c r="L750">
        <f t="shared" si="100"/>
        <v>2</v>
      </c>
    </row>
    <row r="751" spans="1:12" x14ac:dyDescent="0.25">
      <c r="A751">
        <v>40</v>
      </c>
      <c r="B751" s="1">
        <v>45655</v>
      </c>
      <c r="C751" t="s">
        <v>4</v>
      </c>
      <c r="D751">
        <v>10</v>
      </c>
      <c r="E751">
        <v>8</v>
      </c>
      <c r="F751" t="s">
        <v>11</v>
      </c>
      <c r="G751">
        <f t="shared" si="95"/>
        <v>1</v>
      </c>
      <c r="H751">
        <f t="shared" si="96"/>
        <v>0</v>
      </c>
      <c r="I751">
        <f t="shared" si="97"/>
        <v>1</v>
      </c>
      <c r="J751">
        <f t="shared" si="98"/>
        <v>0</v>
      </c>
      <c r="K751">
        <f t="shared" si="99"/>
        <v>0</v>
      </c>
      <c r="L751">
        <f t="shared" si="100"/>
        <v>2</v>
      </c>
    </row>
    <row r="752" spans="1:12" x14ac:dyDescent="0.25">
      <c r="A752">
        <v>40</v>
      </c>
      <c r="B752" s="1">
        <v>45655</v>
      </c>
      <c r="C752" t="s">
        <v>29</v>
      </c>
      <c r="D752">
        <v>1</v>
      </c>
      <c r="E752">
        <v>1</v>
      </c>
      <c r="F752" t="s">
        <v>32</v>
      </c>
      <c r="G752">
        <f t="shared" si="95"/>
        <v>10</v>
      </c>
      <c r="H752">
        <f t="shared" si="96"/>
        <v>9</v>
      </c>
      <c r="I752">
        <f t="shared" si="97"/>
        <v>19</v>
      </c>
      <c r="J752">
        <f t="shared" si="98"/>
        <v>1</v>
      </c>
      <c r="K752">
        <f t="shared" si="99"/>
        <v>1</v>
      </c>
      <c r="L752">
        <f t="shared" si="100"/>
        <v>0</v>
      </c>
    </row>
    <row r="753" spans="1:12" x14ac:dyDescent="0.25">
      <c r="A753">
        <v>40</v>
      </c>
      <c r="B753" s="1">
        <v>45655</v>
      </c>
      <c r="C753" t="s">
        <v>29</v>
      </c>
      <c r="D753">
        <v>2</v>
      </c>
      <c r="E753">
        <v>3</v>
      </c>
      <c r="F753" t="s">
        <v>81</v>
      </c>
      <c r="G753">
        <f t="shared" si="95"/>
        <v>9</v>
      </c>
      <c r="H753">
        <f t="shared" si="96"/>
        <v>7</v>
      </c>
      <c r="I753">
        <f t="shared" si="97"/>
        <v>16</v>
      </c>
      <c r="J753">
        <f t="shared" si="98"/>
        <v>0</v>
      </c>
      <c r="K753">
        <f t="shared" si="99"/>
        <v>1</v>
      </c>
      <c r="L753">
        <f t="shared" si="100"/>
        <v>-1</v>
      </c>
    </row>
    <row r="754" spans="1:12" x14ac:dyDescent="0.25">
      <c r="A754">
        <v>40</v>
      </c>
      <c r="B754" s="1">
        <v>45655</v>
      </c>
      <c r="C754" t="s">
        <v>29</v>
      </c>
      <c r="D754">
        <v>3</v>
      </c>
      <c r="E754">
        <v>2</v>
      </c>
      <c r="F754" t="s">
        <v>34</v>
      </c>
      <c r="G754">
        <f t="shared" ref="G754:G761" si="101">11-D754</f>
        <v>8</v>
      </c>
      <c r="H754">
        <f t="shared" ref="H754:H761" si="102">IF(D754&lt;6,11-2*D754,0)</f>
        <v>5</v>
      </c>
      <c r="I754">
        <f t="shared" ref="I754:I761" si="103">G754+H754</f>
        <v>13</v>
      </c>
      <c r="J754">
        <f t="shared" si="98"/>
        <v>0</v>
      </c>
      <c r="K754">
        <f t="shared" si="99"/>
        <v>1</v>
      </c>
      <c r="L754">
        <f t="shared" si="100"/>
        <v>1</v>
      </c>
    </row>
    <row r="755" spans="1:12" x14ac:dyDescent="0.25">
      <c r="A755">
        <v>40</v>
      </c>
      <c r="B755" s="1">
        <v>45655</v>
      </c>
      <c r="C755" t="s">
        <v>29</v>
      </c>
      <c r="D755">
        <v>4</v>
      </c>
      <c r="E755">
        <v>5</v>
      </c>
      <c r="F755" t="s">
        <v>112</v>
      </c>
      <c r="G755">
        <f t="shared" si="101"/>
        <v>7</v>
      </c>
      <c r="H755">
        <f t="shared" si="102"/>
        <v>3</v>
      </c>
      <c r="I755">
        <f t="shared" si="103"/>
        <v>10</v>
      </c>
      <c r="J755">
        <f t="shared" si="98"/>
        <v>0</v>
      </c>
      <c r="K755">
        <f t="shared" si="99"/>
        <v>0</v>
      </c>
      <c r="L755">
        <f t="shared" si="100"/>
        <v>-1</v>
      </c>
    </row>
    <row r="756" spans="1:12" x14ac:dyDescent="0.25">
      <c r="A756">
        <v>40</v>
      </c>
      <c r="B756" s="1">
        <v>45655</v>
      </c>
      <c r="C756" t="s">
        <v>29</v>
      </c>
      <c r="D756">
        <v>5</v>
      </c>
      <c r="E756">
        <v>4</v>
      </c>
      <c r="F756" t="s">
        <v>37</v>
      </c>
      <c r="G756">
        <f t="shared" si="101"/>
        <v>6</v>
      </c>
      <c r="H756">
        <f t="shared" si="102"/>
        <v>1</v>
      </c>
      <c r="I756">
        <f t="shared" si="103"/>
        <v>7</v>
      </c>
      <c r="J756">
        <f t="shared" si="98"/>
        <v>0</v>
      </c>
      <c r="K756">
        <f t="shared" si="99"/>
        <v>0</v>
      </c>
      <c r="L756">
        <f t="shared" si="100"/>
        <v>1</v>
      </c>
    </row>
    <row r="757" spans="1:12" x14ac:dyDescent="0.25">
      <c r="A757">
        <v>40</v>
      </c>
      <c r="B757" s="1">
        <v>45655</v>
      </c>
      <c r="C757" t="s">
        <v>29</v>
      </c>
      <c r="D757">
        <v>6</v>
      </c>
      <c r="E757">
        <v>6</v>
      </c>
      <c r="F757" t="s">
        <v>114</v>
      </c>
      <c r="G757">
        <f t="shared" si="101"/>
        <v>5</v>
      </c>
      <c r="H757">
        <f t="shared" si="102"/>
        <v>0</v>
      </c>
      <c r="I757">
        <f t="shared" si="103"/>
        <v>5</v>
      </c>
      <c r="J757">
        <f t="shared" si="98"/>
        <v>0</v>
      </c>
      <c r="K757">
        <f t="shared" si="99"/>
        <v>0</v>
      </c>
      <c r="L757">
        <f t="shared" si="100"/>
        <v>0</v>
      </c>
    </row>
    <row r="758" spans="1:12" x14ac:dyDescent="0.25">
      <c r="A758">
        <v>40</v>
      </c>
      <c r="B758" s="1">
        <v>45655</v>
      </c>
      <c r="C758" t="s">
        <v>29</v>
      </c>
      <c r="D758">
        <v>7</v>
      </c>
      <c r="E758">
        <v>9</v>
      </c>
      <c r="F758" t="s">
        <v>111</v>
      </c>
      <c r="G758">
        <f t="shared" si="101"/>
        <v>4</v>
      </c>
      <c r="H758">
        <f t="shared" si="102"/>
        <v>0</v>
      </c>
      <c r="I758">
        <f t="shared" si="103"/>
        <v>4</v>
      </c>
      <c r="J758">
        <f t="shared" si="98"/>
        <v>0</v>
      </c>
      <c r="K758">
        <f t="shared" si="99"/>
        <v>0</v>
      </c>
      <c r="L758">
        <f t="shared" si="100"/>
        <v>-2</v>
      </c>
    </row>
    <row r="759" spans="1:12" x14ac:dyDescent="0.25">
      <c r="A759">
        <v>40</v>
      </c>
      <c r="B759" s="1">
        <v>45655</v>
      </c>
      <c r="C759" t="s">
        <v>29</v>
      </c>
      <c r="D759">
        <v>8</v>
      </c>
      <c r="E759">
        <v>8</v>
      </c>
      <c r="F759" t="s">
        <v>104</v>
      </c>
      <c r="G759">
        <f t="shared" si="101"/>
        <v>3</v>
      </c>
      <c r="H759">
        <f t="shared" si="102"/>
        <v>0</v>
      </c>
      <c r="I759">
        <f t="shared" si="103"/>
        <v>3</v>
      </c>
      <c r="J759">
        <f t="shared" si="98"/>
        <v>0</v>
      </c>
      <c r="K759">
        <f t="shared" si="99"/>
        <v>0</v>
      </c>
      <c r="L759">
        <f t="shared" si="100"/>
        <v>0</v>
      </c>
    </row>
    <row r="760" spans="1:12" x14ac:dyDescent="0.25">
      <c r="A760">
        <v>40</v>
      </c>
      <c r="B760" s="1">
        <v>45655</v>
      </c>
      <c r="C760" t="s">
        <v>29</v>
      </c>
      <c r="D760">
        <v>9</v>
      </c>
      <c r="E760">
        <v>7</v>
      </c>
      <c r="F760" t="s">
        <v>35</v>
      </c>
      <c r="G760">
        <f t="shared" si="101"/>
        <v>2</v>
      </c>
      <c r="H760">
        <f t="shared" si="102"/>
        <v>0</v>
      </c>
      <c r="I760">
        <f t="shared" si="103"/>
        <v>2</v>
      </c>
      <c r="J760">
        <f t="shared" si="98"/>
        <v>0</v>
      </c>
      <c r="K760">
        <f t="shared" si="99"/>
        <v>0</v>
      </c>
      <c r="L760">
        <f t="shared" si="100"/>
        <v>2</v>
      </c>
    </row>
    <row r="761" spans="1:12" x14ac:dyDescent="0.25">
      <c r="A761">
        <v>40</v>
      </c>
      <c r="B761" s="1">
        <v>45655</v>
      </c>
      <c r="C761" t="s">
        <v>29</v>
      </c>
      <c r="D761">
        <v>10</v>
      </c>
      <c r="E761">
        <v>11</v>
      </c>
      <c r="F761" t="s">
        <v>115</v>
      </c>
      <c r="G761">
        <f t="shared" si="101"/>
        <v>1</v>
      </c>
      <c r="H761">
        <f t="shared" si="102"/>
        <v>0</v>
      </c>
      <c r="I761">
        <f t="shared" si="103"/>
        <v>1</v>
      </c>
      <c r="J761">
        <f t="shared" si="98"/>
        <v>0</v>
      </c>
      <c r="K761">
        <f t="shared" si="99"/>
        <v>0</v>
      </c>
      <c r="L761">
        <f t="shared" si="100"/>
        <v>-1</v>
      </c>
    </row>
  </sheetData>
  <autoFilter ref="A1:L761" xr:uid="{DB7EE4B5-34C6-49F4-9812-52055268142B}"/>
  <sortState xmlns:xlrd2="http://schemas.microsoft.com/office/spreadsheetml/2017/richdata2" ref="B82:G601">
    <sortCondition ref="B82:B601"/>
    <sortCondition descending="1" ref="C82:C6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A483-CCC4-4A5F-9888-73A4F25C8294}">
  <dimension ref="A1:D56"/>
  <sheetViews>
    <sheetView workbookViewId="0">
      <selection activeCell="B3" sqref="B3"/>
    </sheetView>
  </sheetViews>
  <sheetFormatPr baseColWidth="10" defaultRowHeight="15" x14ac:dyDescent="0.25"/>
  <cols>
    <col min="1" max="1" width="67" bestFit="1" customWidth="1"/>
    <col min="2" max="2" width="15" bestFit="1" customWidth="1"/>
    <col min="3" max="3" width="14.42578125" bestFit="1" customWidth="1"/>
    <col min="4" max="4" width="13.42578125" bestFit="1" customWidth="1"/>
  </cols>
  <sheetData>
    <row r="1" spans="1:4" x14ac:dyDescent="0.25">
      <c r="A1" s="2" t="s">
        <v>3</v>
      </c>
      <c r="B1" t="s">
        <v>29</v>
      </c>
    </row>
    <row r="3" spans="1:4" x14ac:dyDescent="0.25">
      <c r="A3" s="2" t="s">
        <v>0</v>
      </c>
      <c r="B3" t="s">
        <v>8</v>
      </c>
      <c r="C3" t="s">
        <v>98</v>
      </c>
      <c r="D3" t="s">
        <v>97</v>
      </c>
    </row>
    <row r="4" spans="1:4" x14ac:dyDescent="0.25">
      <c r="A4" s="3" t="s">
        <v>61</v>
      </c>
      <c r="B4" s="5">
        <v>137</v>
      </c>
      <c r="C4" s="5">
        <v>83</v>
      </c>
      <c r="D4" s="5">
        <v>220</v>
      </c>
    </row>
    <row r="5" spans="1:4" x14ac:dyDescent="0.25">
      <c r="A5" s="3" t="s">
        <v>44</v>
      </c>
      <c r="B5" s="5">
        <v>100</v>
      </c>
      <c r="C5" s="5">
        <v>73</v>
      </c>
      <c r="D5" s="5">
        <v>173</v>
      </c>
    </row>
    <row r="6" spans="1:4" x14ac:dyDescent="0.25">
      <c r="A6" s="3" t="s">
        <v>31</v>
      </c>
      <c r="B6" s="5">
        <v>101</v>
      </c>
      <c r="C6" s="5">
        <v>67</v>
      </c>
      <c r="D6" s="5">
        <v>168</v>
      </c>
    </row>
    <row r="7" spans="1:4" x14ac:dyDescent="0.25">
      <c r="A7" s="3" t="s">
        <v>33</v>
      </c>
      <c r="B7" s="5">
        <v>98</v>
      </c>
      <c r="C7" s="5">
        <v>65</v>
      </c>
      <c r="D7" s="5">
        <v>163</v>
      </c>
    </row>
    <row r="8" spans="1:4" x14ac:dyDescent="0.25">
      <c r="A8" s="3" t="s">
        <v>51</v>
      </c>
      <c r="B8" s="5">
        <v>101</v>
      </c>
      <c r="C8" s="5">
        <v>54</v>
      </c>
      <c r="D8" s="5">
        <v>155</v>
      </c>
    </row>
    <row r="9" spans="1:4" x14ac:dyDescent="0.25">
      <c r="A9" s="3" t="s">
        <v>30</v>
      </c>
      <c r="B9" s="5">
        <v>97</v>
      </c>
      <c r="C9" s="5">
        <v>56</v>
      </c>
      <c r="D9" s="5">
        <v>153</v>
      </c>
    </row>
    <row r="10" spans="1:4" x14ac:dyDescent="0.25">
      <c r="A10" s="3" t="s">
        <v>45</v>
      </c>
      <c r="B10" s="5">
        <v>84</v>
      </c>
      <c r="C10" s="5">
        <v>63</v>
      </c>
      <c r="D10" s="5">
        <v>147</v>
      </c>
    </row>
    <row r="11" spans="1:4" x14ac:dyDescent="0.25">
      <c r="A11" s="3" t="s">
        <v>60</v>
      </c>
      <c r="B11" s="5">
        <v>81</v>
      </c>
      <c r="C11" s="5">
        <v>59</v>
      </c>
      <c r="D11" s="5">
        <v>140</v>
      </c>
    </row>
    <row r="12" spans="1:4" x14ac:dyDescent="0.25">
      <c r="A12" s="3" t="s">
        <v>32</v>
      </c>
      <c r="B12" s="5">
        <v>80</v>
      </c>
      <c r="C12" s="5">
        <v>58</v>
      </c>
      <c r="D12" s="5">
        <v>138</v>
      </c>
    </row>
    <row r="13" spans="1:4" x14ac:dyDescent="0.25">
      <c r="A13" s="3" t="s">
        <v>49</v>
      </c>
      <c r="B13" s="5">
        <v>74</v>
      </c>
      <c r="C13" s="5">
        <v>45</v>
      </c>
      <c r="D13" s="5">
        <v>119</v>
      </c>
    </row>
    <row r="14" spans="1:4" x14ac:dyDescent="0.25">
      <c r="A14" s="3" t="s">
        <v>74</v>
      </c>
      <c r="B14" s="5">
        <v>64</v>
      </c>
      <c r="C14" s="5">
        <v>43</v>
      </c>
      <c r="D14" s="5">
        <v>107</v>
      </c>
    </row>
    <row r="15" spans="1:4" x14ac:dyDescent="0.25">
      <c r="A15" s="3" t="s">
        <v>66</v>
      </c>
      <c r="B15" s="5">
        <v>64</v>
      </c>
      <c r="C15" s="5">
        <v>36</v>
      </c>
      <c r="D15" s="5">
        <v>100</v>
      </c>
    </row>
    <row r="16" spans="1:4" x14ac:dyDescent="0.25">
      <c r="A16" s="3" t="s">
        <v>34</v>
      </c>
      <c r="B16" s="5">
        <v>63</v>
      </c>
      <c r="C16" s="5">
        <v>33</v>
      </c>
      <c r="D16" s="5">
        <v>96</v>
      </c>
    </row>
    <row r="17" spans="1:4" x14ac:dyDescent="0.25">
      <c r="A17" s="3" t="s">
        <v>75</v>
      </c>
      <c r="B17" s="5">
        <v>55</v>
      </c>
      <c r="C17" s="5">
        <v>31</v>
      </c>
      <c r="D17" s="5">
        <v>86</v>
      </c>
    </row>
    <row r="18" spans="1:4" x14ac:dyDescent="0.25">
      <c r="A18" s="3" t="s">
        <v>46</v>
      </c>
      <c r="B18" s="5">
        <v>56</v>
      </c>
      <c r="C18" s="5">
        <v>27</v>
      </c>
      <c r="D18" s="5">
        <v>83</v>
      </c>
    </row>
    <row r="19" spans="1:4" x14ac:dyDescent="0.25">
      <c r="A19" s="3" t="s">
        <v>36</v>
      </c>
      <c r="B19" s="5">
        <v>60</v>
      </c>
      <c r="C19" s="5">
        <v>21</v>
      </c>
      <c r="D19" s="5">
        <v>81</v>
      </c>
    </row>
    <row r="20" spans="1:4" x14ac:dyDescent="0.25">
      <c r="A20" s="3" t="s">
        <v>76</v>
      </c>
      <c r="B20" s="5">
        <v>50</v>
      </c>
      <c r="C20" s="5">
        <v>15</v>
      </c>
      <c r="D20" s="5">
        <v>65</v>
      </c>
    </row>
    <row r="21" spans="1:4" x14ac:dyDescent="0.25">
      <c r="A21" s="3" t="s">
        <v>41</v>
      </c>
      <c r="B21" s="5">
        <v>43</v>
      </c>
      <c r="C21" s="5">
        <v>14</v>
      </c>
      <c r="D21" s="5">
        <v>57</v>
      </c>
    </row>
    <row r="22" spans="1:4" x14ac:dyDescent="0.25">
      <c r="A22" s="3" t="s">
        <v>42</v>
      </c>
      <c r="B22" s="5">
        <v>37</v>
      </c>
      <c r="C22" s="5">
        <v>20</v>
      </c>
      <c r="D22" s="5">
        <v>57</v>
      </c>
    </row>
    <row r="23" spans="1:4" x14ac:dyDescent="0.25">
      <c r="A23" s="3" t="s">
        <v>62</v>
      </c>
      <c r="B23" s="5">
        <v>43</v>
      </c>
      <c r="C23" s="5">
        <v>11</v>
      </c>
      <c r="D23" s="5">
        <v>54</v>
      </c>
    </row>
    <row r="24" spans="1:4" x14ac:dyDescent="0.25">
      <c r="A24" s="3" t="s">
        <v>77</v>
      </c>
      <c r="B24" s="5">
        <v>36</v>
      </c>
      <c r="C24" s="5">
        <v>17</v>
      </c>
      <c r="D24" s="5">
        <v>53</v>
      </c>
    </row>
    <row r="25" spans="1:4" x14ac:dyDescent="0.25">
      <c r="A25" s="3" t="s">
        <v>37</v>
      </c>
      <c r="B25" s="5">
        <v>40</v>
      </c>
      <c r="C25" s="5">
        <v>12</v>
      </c>
      <c r="D25" s="5">
        <v>52</v>
      </c>
    </row>
    <row r="26" spans="1:4" x14ac:dyDescent="0.25">
      <c r="A26" s="3" t="s">
        <v>81</v>
      </c>
      <c r="B26" s="5">
        <v>34</v>
      </c>
      <c r="C26" s="5">
        <v>15</v>
      </c>
      <c r="D26" s="5">
        <v>49</v>
      </c>
    </row>
    <row r="27" spans="1:4" x14ac:dyDescent="0.25">
      <c r="A27" s="3" t="s">
        <v>50</v>
      </c>
      <c r="B27" s="5">
        <v>46</v>
      </c>
      <c r="C27" s="5">
        <v>0</v>
      </c>
      <c r="D27" s="5">
        <v>46</v>
      </c>
    </row>
    <row r="28" spans="1:4" x14ac:dyDescent="0.25">
      <c r="A28" s="3" t="s">
        <v>35</v>
      </c>
      <c r="B28" s="5">
        <v>38</v>
      </c>
      <c r="C28" s="5">
        <v>3</v>
      </c>
      <c r="D28" s="5">
        <v>41</v>
      </c>
    </row>
    <row r="29" spans="1:4" x14ac:dyDescent="0.25">
      <c r="A29" s="3" t="s">
        <v>80</v>
      </c>
      <c r="B29" s="5">
        <v>34</v>
      </c>
      <c r="C29" s="5">
        <v>6</v>
      </c>
      <c r="D29" s="5">
        <v>40</v>
      </c>
    </row>
    <row r="30" spans="1:4" x14ac:dyDescent="0.25">
      <c r="A30" s="3" t="s">
        <v>47</v>
      </c>
      <c r="B30" s="5">
        <v>29</v>
      </c>
      <c r="C30" s="5">
        <v>9</v>
      </c>
      <c r="D30" s="5">
        <v>38</v>
      </c>
    </row>
    <row r="31" spans="1:4" x14ac:dyDescent="0.25">
      <c r="A31" s="3" t="s">
        <v>48</v>
      </c>
      <c r="B31" s="5">
        <v>35</v>
      </c>
      <c r="C31" s="5">
        <v>0</v>
      </c>
      <c r="D31" s="5">
        <v>35</v>
      </c>
    </row>
    <row r="32" spans="1:4" x14ac:dyDescent="0.25">
      <c r="A32" s="3" t="s">
        <v>39</v>
      </c>
      <c r="B32" s="5">
        <v>32</v>
      </c>
      <c r="C32" s="5">
        <v>2</v>
      </c>
      <c r="D32" s="5">
        <v>34</v>
      </c>
    </row>
    <row r="33" spans="1:4" x14ac:dyDescent="0.25">
      <c r="A33" s="3" t="s">
        <v>67</v>
      </c>
      <c r="B33" s="5">
        <v>26</v>
      </c>
      <c r="C33" s="5">
        <v>0</v>
      </c>
      <c r="D33" s="5">
        <v>26</v>
      </c>
    </row>
    <row r="34" spans="1:4" x14ac:dyDescent="0.25">
      <c r="A34" s="3" t="s">
        <v>78</v>
      </c>
      <c r="B34" s="5">
        <v>24</v>
      </c>
      <c r="C34" s="5">
        <v>1</v>
      </c>
      <c r="D34" s="5">
        <v>25</v>
      </c>
    </row>
    <row r="35" spans="1:4" x14ac:dyDescent="0.25">
      <c r="A35" s="3" t="s">
        <v>63</v>
      </c>
      <c r="B35" s="5">
        <v>22</v>
      </c>
      <c r="C35" s="5">
        <v>3</v>
      </c>
      <c r="D35" s="5">
        <v>25</v>
      </c>
    </row>
    <row r="36" spans="1:4" x14ac:dyDescent="0.25">
      <c r="A36" s="3" t="s">
        <v>64</v>
      </c>
      <c r="B36" s="5">
        <v>22</v>
      </c>
      <c r="C36" s="5">
        <v>2</v>
      </c>
      <c r="D36" s="5">
        <v>24</v>
      </c>
    </row>
    <row r="37" spans="1:4" x14ac:dyDescent="0.25">
      <c r="A37" s="3" t="s">
        <v>38</v>
      </c>
      <c r="B37" s="5">
        <v>22</v>
      </c>
      <c r="C37" s="5">
        <v>0</v>
      </c>
      <c r="D37" s="5">
        <v>22</v>
      </c>
    </row>
    <row r="38" spans="1:4" x14ac:dyDescent="0.25">
      <c r="A38" s="3" t="s">
        <v>65</v>
      </c>
      <c r="B38" s="5">
        <v>21</v>
      </c>
      <c r="C38" s="5">
        <v>0</v>
      </c>
      <c r="D38" s="5">
        <v>21</v>
      </c>
    </row>
    <row r="39" spans="1:4" x14ac:dyDescent="0.25">
      <c r="A39" s="3" t="s">
        <v>112</v>
      </c>
      <c r="B39" s="5">
        <v>16</v>
      </c>
      <c r="C39" s="5">
        <v>4</v>
      </c>
      <c r="D39" s="5">
        <v>20</v>
      </c>
    </row>
    <row r="40" spans="1:4" x14ac:dyDescent="0.25">
      <c r="A40" s="3" t="s">
        <v>40</v>
      </c>
      <c r="B40" s="5">
        <v>17</v>
      </c>
      <c r="C40" s="5">
        <v>1</v>
      </c>
      <c r="D40" s="5">
        <v>18</v>
      </c>
    </row>
    <row r="41" spans="1:4" x14ac:dyDescent="0.25">
      <c r="A41" s="3" t="s">
        <v>104</v>
      </c>
      <c r="B41" s="5">
        <v>13</v>
      </c>
      <c r="C41" s="5">
        <v>0</v>
      </c>
      <c r="D41" s="5">
        <v>13</v>
      </c>
    </row>
    <row r="42" spans="1:4" x14ac:dyDescent="0.25">
      <c r="A42" s="3" t="s">
        <v>79</v>
      </c>
      <c r="B42" s="5">
        <v>13</v>
      </c>
      <c r="C42" s="5">
        <v>0</v>
      </c>
      <c r="D42" s="5">
        <v>13</v>
      </c>
    </row>
    <row r="43" spans="1:4" x14ac:dyDescent="0.25">
      <c r="A43" s="3" t="s">
        <v>52</v>
      </c>
      <c r="B43" s="5">
        <v>12</v>
      </c>
      <c r="C43" s="5">
        <v>0</v>
      </c>
      <c r="D43" s="5">
        <v>12</v>
      </c>
    </row>
    <row r="44" spans="1:4" x14ac:dyDescent="0.25">
      <c r="A44" s="3" t="s">
        <v>87</v>
      </c>
      <c r="B44" s="5">
        <v>11</v>
      </c>
      <c r="C44" s="5">
        <v>1</v>
      </c>
      <c r="D44" s="5">
        <v>12</v>
      </c>
    </row>
    <row r="45" spans="1:4" x14ac:dyDescent="0.25">
      <c r="A45" s="3" t="s">
        <v>114</v>
      </c>
      <c r="B45" s="5">
        <v>10</v>
      </c>
      <c r="C45" s="5">
        <v>0</v>
      </c>
      <c r="D45" s="5">
        <v>10</v>
      </c>
    </row>
    <row r="46" spans="1:4" x14ac:dyDescent="0.25">
      <c r="A46" s="3" t="s">
        <v>82</v>
      </c>
      <c r="B46" s="5">
        <v>9</v>
      </c>
      <c r="C46" s="5">
        <v>0</v>
      </c>
      <c r="D46" s="5">
        <v>9</v>
      </c>
    </row>
    <row r="47" spans="1:4" x14ac:dyDescent="0.25">
      <c r="A47" s="3" t="s">
        <v>53</v>
      </c>
      <c r="B47" s="5">
        <v>8</v>
      </c>
      <c r="C47" s="5">
        <v>0</v>
      </c>
      <c r="D47" s="5">
        <v>8</v>
      </c>
    </row>
    <row r="48" spans="1:4" x14ac:dyDescent="0.25">
      <c r="A48" s="3" t="s">
        <v>88</v>
      </c>
      <c r="B48" s="5">
        <v>8</v>
      </c>
      <c r="C48" s="5">
        <v>0</v>
      </c>
      <c r="D48" s="5">
        <v>8</v>
      </c>
    </row>
    <row r="49" spans="1:4" x14ac:dyDescent="0.25">
      <c r="A49" s="3" t="s">
        <v>111</v>
      </c>
      <c r="B49" s="5">
        <v>7</v>
      </c>
      <c r="C49" s="5">
        <v>0</v>
      </c>
      <c r="D49" s="5">
        <v>7</v>
      </c>
    </row>
    <row r="50" spans="1:4" x14ac:dyDescent="0.25">
      <c r="A50" s="3" t="s">
        <v>89</v>
      </c>
      <c r="B50" s="5">
        <v>7</v>
      </c>
      <c r="C50" s="5">
        <v>0</v>
      </c>
      <c r="D50" s="5">
        <v>7</v>
      </c>
    </row>
    <row r="51" spans="1:4" x14ac:dyDescent="0.25">
      <c r="A51" s="3" t="s">
        <v>93</v>
      </c>
      <c r="B51" s="5">
        <v>4</v>
      </c>
      <c r="C51" s="5">
        <v>0</v>
      </c>
      <c r="D51" s="5">
        <v>4</v>
      </c>
    </row>
    <row r="52" spans="1:4" x14ac:dyDescent="0.25">
      <c r="A52" s="3" t="s">
        <v>43</v>
      </c>
      <c r="B52" s="5">
        <v>2</v>
      </c>
      <c r="C52" s="5">
        <v>0</v>
      </c>
      <c r="D52" s="5">
        <v>2</v>
      </c>
    </row>
    <row r="53" spans="1:4" x14ac:dyDescent="0.25">
      <c r="A53" s="3" t="s">
        <v>84</v>
      </c>
      <c r="B53" s="5">
        <v>2</v>
      </c>
      <c r="C53" s="5">
        <v>0</v>
      </c>
      <c r="D53" s="5">
        <v>2</v>
      </c>
    </row>
    <row r="54" spans="1:4" x14ac:dyDescent="0.25">
      <c r="A54" s="3" t="s">
        <v>115</v>
      </c>
      <c r="B54" s="5">
        <v>1</v>
      </c>
      <c r="C54" s="5">
        <v>0</v>
      </c>
      <c r="D54" s="5">
        <v>1</v>
      </c>
    </row>
    <row r="55" spans="1:4" x14ac:dyDescent="0.25">
      <c r="A55" s="3" t="s">
        <v>90</v>
      </c>
      <c r="B55" s="5">
        <v>1</v>
      </c>
      <c r="C55" s="5">
        <v>0</v>
      </c>
      <c r="D55" s="5">
        <v>1</v>
      </c>
    </row>
    <row r="56" spans="1:4" x14ac:dyDescent="0.25">
      <c r="A56" s="3" t="s">
        <v>1</v>
      </c>
      <c r="B56" s="5">
        <v>2090</v>
      </c>
      <c r="C56" s="5">
        <v>950</v>
      </c>
      <c r="D56" s="5">
        <v>3040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293-A99F-4AF4-BC22-71B7C1BC481D}">
  <dimension ref="A1:H56"/>
  <sheetViews>
    <sheetView tabSelected="1" workbookViewId="0">
      <selection activeCell="A3" sqref="A3"/>
    </sheetView>
  </sheetViews>
  <sheetFormatPr baseColWidth="10" defaultRowHeight="15" x14ac:dyDescent="0.25"/>
  <cols>
    <col min="1" max="1" width="67" bestFit="1" customWidth="1"/>
    <col min="2" max="2" width="15" bestFit="1" customWidth="1"/>
    <col min="3" max="3" width="18" bestFit="1" customWidth="1"/>
    <col min="4" max="4" width="15.7109375" bestFit="1" customWidth="1"/>
    <col min="5" max="5" width="11" bestFit="1" customWidth="1"/>
    <col min="6" max="6" width="13.28515625" bestFit="1" customWidth="1"/>
    <col min="7" max="7" width="13" bestFit="1" customWidth="1"/>
    <col min="8" max="8" width="13.28515625" bestFit="1" customWidth="1"/>
    <col min="9" max="9" width="16.85546875" bestFit="1" customWidth="1"/>
  </cols>
  <sheetData>
    <row r="1" spans="1:8" x14ac:dyDescent="0.25">
      <c r="A1" s="2" t="s">
        <v>3</v>
      </c>
      <c r="B1" t="s">
        <v>29</v>
      </c>
    </row>
    <row r="3" spans="1:8" x14ac:dyDescent="0.25">
      <c r="A3" s="2" t="s">
        <v>0</v>
      </c>
      <c r="B3" t="s">
        <v>97</v>
      </c>
      <c r="C3" t="s">
        <v>99</v>
      </c>
      <c r="D3" t="s">
        <v>107</v>
      </c>
      <c r="E3" t="s">
        <v>102</v>
      </c>
      <c r="F3" t="s">
        <v>103</v>
      </c>
      <c r="G3" t="s">
        <v>108</v>
      </c>
      <c r="H3" t="s">
        <v>109</v>
      </c>
    </row>
    <row r="4" spans="1:8" x14ac:dyDescent="0.25">
      <c r="A4" s="3" t="s">
        <v>61</v>
      </c>
      <c r="B4" s="5">
        <v>220</v>
      </c>
      <c r="C4" s="5">
        <v>18</v>
      </c>
      <c r="D4" s="5">
        <v>1</v>
      </c>
      <c r="E4" s="5">
        <v>6</v>
      </c>
      <c r="F4" s="5">
        <v>10</v>
      </c>
      <c r="G4" s="5">
        <v>-5</v>
      </c>
      <c r="H4" s="5">
        <v>2</v>
      </c>
    </row>
    <row r="5" spans="1:8" x14ac:dyDescent="0.25">
      <c r="A5" s="3" t="s">
        <v>44</v>
      </c>
      <c r="B5" s="5">
        <v>173</v>
      </c>
      <c r="C5" s="5">
        <v>14</v>
      </c>
      <c r="D5" s="5">
        <v>1</v>
      </c>
      <c r="E5" s="5">
        <v>5</v>
      </c>
      <c r="F5" s="5">
        <v>9</v>
      </c>
      <c r="G5" s="5">
        <v>-7</v>
      </c>
      <c r="H5" s="5">
        <v>5</v>
      </c>
    </row>
    <row r="6" spans="1:8" x14ac:dyDescent="0.25">
      <c r="A6" s="3" t="s">
        <v>31</v>
      </c>
      <c r="B6" s="5">
        <v>168</v>
      </c>
      <c r="C6" s="5">
        <v>14</v>
      </c>
      <c r="D6" s="5">
        <v>1</v>
      </c>
      <c r="E6" s="5">
        <v>4</v>
      </c>
      <c r="F6" s="5">
        <v>8</v>
      </c>
      <c r="G6" s="5">
        <v>-5</v>
      </c>
      <c r="H6" s="5">
        <v>3</v>
      </c>
    </row>
    <row r="7" spans="1:8" x14ac:dyDescent="0.25">
      <c r="A7" s="3" t="s">
        <v>33</v>
      </c>
      <c r="B7" s="5">
        <v>163</v>
      </c>
      <c r="C7" s="5">
        <v>13</v>
      </c>
      <c r="D7" s="5">
        <v>1</v>
      </c>
      <c r="E7" s="5">
        <v>4</v>
      </c>
      <c r="F7" s="5">
        <v>8</v>
      </c>
      <c r="G7" s="5">
        <v>-4</v>
      </c>
      <c r="H7" s="5">
        <v>4</v>
      </c>
    </row>
    <row r="8" spans="1:8" x14ac:dyDescent="0.25">
      <c r="A8" s="3" t="s">
        <v>51</v>
      </c>
      <c r="B8" s="5">
        <v>155</v>
      </c>
      <c r="C8" s="5">
        <v>16</v>
      </c>
      <c r="D8" s="5">
        <v>1</v>
      </c>
      <c r="E8" s="5">
        <v>1</v>
      </c>
      <c r="F8" s="5">
        <v>7</v>
      </c>
      <c r="G8" s="5">
        <v>-5</v>
      </c>
      <c r="H8" s="5">
        <v>4</v>
      </c>
    </row>
    <row r="9" spans="1:8" x14ac:dyDescent="0.25">
      <c r="A9" s="3" t="s">
        <v>30</v>
      </c>
      <c r="B9" s="5">
        <v>153</v>
      </c>
      <c r="C9" s="5">
        <v>14</v>
      </c>
      <c r="D9" s="5">
        <v>1</v>
      </c>
      <c r="E9" s="5">
        <v>3</v>
      </c>
      <c r="F9" s="5">
        <v>7</v>
      </c>
      <c r="G9" s="5">
        <v>-4</v>
      </c>
      <c r="H9" s="5">
        <v>4</v>
      </c>
    </row>
    <row r="10" spans="1:8" x14ac:dyDescent="0.25">
      <c r="A10" s="3" t="s">
        <v>45</v>
      </c>
      <c r="B10" s="5">
        <v>147</v>
      </c>
      <c r="C10" s="5">
        <v>10</v>
      </c>
      <c r="D10" s="5">
        <v>1</v>
      </c>
      <c r="E10" s="5">
        <v>4</v>
      </c>
      <c r="F10" s="5">
        <v>8</v>
      </c>
      <c r="G10" s="5">
        <v>-10</v>
      </c>
      <c r="H10" s="5">
        <v>3</v>
      </c>
    </row>
    <row r="11" spans="1:8" x14ac:dyDescent="0.25">
      <c r="A11" s="3" t="s">
        <v>60</v>
      </c>
      <c r="B11" s="5">
        <v>140</v>
      </c>
      <c r="C11" s="5">
        <v>10</v>
      </c>
      <c r="D11" s="5">
        <v>1</v>
      </c>
      <c r="E11" s="5">
        <v>4</v>
      </c>
      <c r="F11" s="5">
        <v>7</v>
      </c>
      <c r="G11" s="5">
        <v>-5</v>
      </c>
      <c r="H11" s="5">
        <v>2</v>
      </c>
    </row>
    <row r="12" spans="1:8" x14ac:dyDescent="0.25">
      <c r="A12" s="3" t="s">
        <v>32</v>
      </c>
      <c r="B12" s="5">
        <v>138</v>
      </c>
      <c r="C12" s="5">
        <v>10</v>
      </c>
      <c r="D12" s="5">
        <v>1</v>
      </c>
      <c r="E12" s="5">
        <v>4</v>
      </c>
      <c r="F12" s="5">
        <v>7</v>
      </c>
      <c r="G12" s="5">
        <v>-3</v>
      </c>
      <c r="H12" s="5">
        <v>0</v>
      </c>
    </row>
    <row r="13" spans="1:8" x14ac:dyDescent="0.25">
      <c r="A13" s="3" t="s">
        <v>49</v>
      </c>
      <c r="B13" s="5">
        <v>119</v>
      </c>
      <c r="C13" s="5">
        <v>10</v>
      </c>
      <c r="D13" s="5">
        <v>2</v>
      </c>
      <c r="E13" s="5">
        <v>0</v>
      </c>
      <c r="F13" s="5">
        <v>7</v>
      </c>
      <c r="G13" s="5">
        <v>-9</v>
      </c>
      <c r="H13" s="5">
        <v>4</v>
      </c>
    </row>
    <row r="14" spans="1:8" x14ac:dyDescent="0.25">
      <c r="A14" s="3" t="s">
        <v>74</v>
      </c>
      <c r="B14" s="5">
        <v>107</v>
      </c>
      <c r="C14" s="5">
        <v>10</v>
      </c>
      <c r="D14" s="5">
        <v>1</v>
      </c>
      <c r="E14" s="5">
        <v>3</v>
      </c>
      <c r="F14" s="5">
        <v>6</v>
      </c>
      <c r="G14" s="5">
        <v>0</v>
      </c>
      <c r="H14" s="5">
        <v>4</v>
      </c>
    </row>
    <row r="15" spans="1:8" x14ac:dyDescent="0.25">
      <c r="A15" s="3" t="s">
        <v>66</v>
      </c>
      <c r="B15" s="5">
        <v>100</v>
      </c>
      <c r="C15" s="5">
        <v>11</v>
      </c>
      <c r="D15" s="5">
        <v>2</v>
      </c>
      <c r="E15" s="5">
        <v>0</v>
      </c>
      <c r="F15" s="5">
        <v>5</v>
      </c>
      <c r="G15" s="5">
        <v>-9</v>
      </c>
      <c r="H15" s="5">
        <v>3</v>
      </c>
    </row>
    <row r="16" spans="1:8" x14ac:dyDescent="0.25">
      <c r="A16" s="3" t="s">
        <v>34</v>
      </c>
      <c r="B16" s="5">
        <v>96</v>
      </c>
      <c r="C16" s="5">
        <v>10</v>
      </c>
      <c r="D16" s="5">
        <v>2</v>
      </c>
      <c r="E16" s="5">
        <v>0</v>
      </c>
      <c r="F16" s="5">
        <v>5</v>
      </c>
      <c r="G16" s="5">
        <v>-3</v>
      </c>
      <c r="H16" s="5">
        <v>1</v>
      </c>
    </row>
    <row r="17" spans="1:8" x14ac:dyDescent="0.25">
      <c r="A17" s="3" t="s">
        <v>75</v>
      </c>
      <c r="B17" s="5">
        <v>86</v>
      </c>
      <c r="C17" s="5">
        <v>8</v>
      </c>
      <c r="D17" s="5">
        <v>2</v>
      </c>
      <c r="E17" s="5">
        <v>0</v>
      </c>
      <c r="F17" s="5">
        <v>3</v>
      </c>
      <c r="G17" s="5">
        <v>-1</v>
      </c>
      <c r="H17" s="5">
        <v>6</v>
      </c>
    </row>
    <row r="18" spans="1:8" x14ac:dyDescent="0.25">
      <c r="A18" s="3" t="s">
        <v>46</v>
      </c>
      <c r="B18" s="5">
        <v>83</v>
      </c>
      <c r="C18" s="5">
        <v>9</v>
      </c>
      <c r="D18" s="5">
        <v>2</v>
      </c>
      <c r="E18" s="5">
        <v>0</v>
      </c>
      <c r="F18" s="5">
        <v>2</v>
      </c>
      <c r="G18" s="5">
        <v>-7</v>
      </c>
      <c r="H18" s="5">
        <v>4</v>
      </c>
    </row>
    <row r="19" spans="1:8" x14ac:dyDescent="0.25">
      <c r="A19" s="3" t="s">
        <v>36</v>
      </c>
      <c r="B19" s="5">
        <v>81</v>
      </c>
      <c r="C19" s="5">
        <v>11</v>
      </c>
      <c r="D19" s="5">
        <v>3</v>
      </c>
      <c r="E19" s="5">
        <v>0</v>
      </c>
      <c r="F19" s="5">
        <v>2</v>
      </c>
      <c r="G19" s="5">
        <v>-7</v>
      </c>
      <c r="H19" s="5">
        <v>3</v>
      </c>
    </row>
    <row r="20" spans="1:8" x14ac:dyDescent="0.25">
      <c r="A20" s="3" t="s">
        <v>76</v>
      </c>
      <c r="B20" s="5">
        <v>65</v>
      </c>
      <c r="C20" s="5">
        <v>8</v>
      </c>
      <c r="D20" s="5">
        <v>2</v>
      </c>
      <c r="E20" s="5">
        <v>0</v>
      </c>
      <c r="F20" s="5">
        <v>2</v>
      </c>
      <c r="G20" s="5">
        <v>-5</v>
      </c>
      <c r="H20" s="5">
        <v>4</v>
      </c>
    </row>
    <row r="21" spans="1:8" x14ac:dyDescent="0.25">
      <c r="A21" s="3" t="s">
        <v>42</v>
      </c>
      <c r="B21" s="5">
        <v>57</v>
      </c>
      <c r="C21" s="5">
        <v>6</v>
      </c>
      <c r="D21" s="5">
        <v>2</v>
      </c>
      <c r="E21" s="5">
        <v>0</v>
      </c>
      <c r="F21" s="5">
        <v>3</v>
      </c>
      <c r="G21" s="5">
        <v>-5</v>
      </c>
      <c r="H21" s="5">
        <v>4</v>
      </c>
    </row>
    <row r="22" spans="1:8" x14ac:dyDescent="0.25">
      <c r="A22" s="3" t="s">
        <v>41</v>
      </c>
      <c r="B22" s="5">
        <v>57</v>
      </c>
      <c r="C22" s="5">
        <v>10</v>
      </c>
      <c r="D22" s="5">
        <v>3</v>
      </c>
      <c r="E22" s="5">
        <v>0</v>
      </c>
      <c r="F22" s="5">
        <v>1</v>
      </c>
      <c r="G22" s="5">
        <v>-3</v>
      </c>
      <c r="H22" s="5">
        <v>4</v>
      </c>
    </row>
    <row r="23" spans="1:8" x14ac:dyDescent="0.25">
      <c r="A23" s="3" t="s">
        <v>62</v>
      </c>
      <c r="B23" s="5">
        <v>54</v>
      </c>
      <c r="C23" s="5">
        <v>9</v>
      </c>
      <c r="D23" s="5">
        <v>4</v>
      </c>
      <c r="E23" s="5">
        <v>0</v>
      </c>
      <c r="F23" s="5">
        <v>0</v>
      </c>
      <c r="G23" s="5">
        <v>-6</v>
      </c>
      <c r="H23" s="5">
        <v>3</v>
      </c>
    </row>
    <row r="24" spans="1:8" x14ac:dyDescent="0.25">
      <c r="A24" s="3" t="s">
        <v>77</v>
      </c>
      <c r="B24" s="5">
        <v>53</v>
      </c>
      <c r="C24" s="5">
        <v>6</v>
      </c>
      <c r="D24" s="5">
        <v>2</v>
      </c>
      <c r="E24" s="5">
        <v>0</v>
      </c>
      <c r="F24" s="5">
        <v>3</v>
      </c>
      <c r="G24" s="5">
        <v>0</v>
      </c>
      <c r="H24" s="5">
        <v>4</v>
      </c>
    </row>
    <row r="25" spans="1:8" x14ac:dyDescent="0.25">
      <c r="A25" s="3" t="s">
        <v>37</v>
      </c>
      <c r="B25" s="5">
        <v>52</v>
      </c>
      <c r="C25" s="5">
        <v>7</v>
      </c>
      <c r="D25" s="5">
        <v>3</v>
      </c>
      <c r="E25" s="5">
        <v>0</v>
      </c>
      <c r="F25" s="5">
        <v>1</v>
      </c>
      <c r="G25" s="5">
        <v>-3</v>
      </c>
      <c r="H25" s="5">
        <v>1</v>
      </c>
    </row>
    <row r="26" spans="1:8" x14ac:dyDescent="0.25">
      <c r="A26" s="3" t="s">
        <v>81</v>
      </c>
      <c r="B26" s="5">
        <v>49</v>
      </c>
      <c r="C26" s="5">
        <v>6</v>
      </c>
      <c r="D26" s="5">
        <v>2</v>
      </c>
      <c r="E26" s="5">
        <v>0</v>
      </c>
      <c r="F26" s="5">
        <v>2</v>
      </c>
      <c r="G26" s="5">
        <v>-2</v>
      </c>
      <c r="H26" s="5">
        <v>-1</v>
      </c>
    </row>
    <row r="27" spans="1:8" x14ac:dyDescent="0.25">
      <c r="A27" s="3" t="s">
        <v>50</v>
      </c>
      <c r="B27" s="5">
        <v>46</v>
      </c>
      <c r="C27" s="5">
        <v>11</v>
      </c>
      <c r="D27" s="5">
        <v>6</v>
      </c>
      <c r="E27" s="5">
        <v>0</v>
      </c>
      <c r="F27" s="5">
        <v>0</v>
      </c>
      <c r="G27" s="5">
        <v>-3</v>
      </c>
      <c r="H27" s="5">
        <v>1</v>
      </c>
    </row>
    <row r="28" spans="1:8" x14ac:dyDescent="0.25">
      <c r="A28" s="3" t="s">
        <v>35</v>
      </c>
      <c r="B28" s="5">
        <v>41</v>
      </c>
      <c r="C28" s="5">
        <v>8</v>
      </c>
      <c r="D28" s="5">
        <v>5</v>
      </c>
      <c r="E28" s="5">
        <v>0</v>
      </c>
      <c r="F28" s="5">
        <v>0</v>
      </c>
      <c r="G28" s="5">
        <v>-4</v>
      </c>
      <c r="H28" s="5">
        <v>2</v>
      </c>
    </row>
    <row r="29" spans="1:8" x14ac:dyDescent="0.25">
      <c r="A29" s="3" t="s">
        <v>80</v>
      </c>
      <c r="B29" s="5">
        <v>40</v>
      </c>
      <c r="C29" s="5">
        <v>10</v>
      </c>
      <c r="D29" s="5">
        <v>4</v>
      </c>
      <c r="E29" s="5">
        <v>0</v>
      </c>
      <c r="F29" s="5">
        <v>0</v>
      </c>
      <c r="G29" s="5">
        <v>-1</v>
      </c>
      <c r="H29" s="5">
        <v>3</v>
      </c>
    </row>
    <row r="30" spans="1:8" x14ac:dyDescent="0.25">
      <c r="A30" s="3" t="s">
        <v>47</v>
      </c>
      <c r="B30" s="5">
        <v>38</v>
      </c>
      <c r="C30" s="5">
        <v>8</v>
      </c>
      <c r="D30" s="5">
        <v>3</v>
      </c>
      <c r="E30" s="5">
        <v>0</v>
      </c>
      <c r="F30" s="5">
        <v>1</v>
      </c>
      <c r="G30" s="5">
        <v>-4</v>
      </c>
      <c r="H30" s="5">
        <v>7</v>
      </c>
    </row>
    <row r="31" spans="1:8" x14ac:dyDescent="0.25">
      <c r="A31" s="3" t="s">
        <v>48</v>
      </c>
      <c r="B31" s="5">
        <v>35</v>
      </c>
      <c r="C31" s="5">
        <v>10</v>
      </c>
      <c r="D31" s="5">
        <v>6</v>
      </c>
      <c r="E31" s="5">
        <v>0</v>
      </c>
      <c r="F31" s="5">
        <v>0</v>
      </c>
      <c r="G31" s="5">
        <v>-3</v>
      </c>
      <c r="H31" s="5">
        <v>1</v>
      </c>
    </row>
    <row r="32" spans="1:8" x14ac:dyDescent="0.25">
      <c r="A32" s="3" t="s">
        <v>39</v>
      </c>
      <c r="B32" s="5">
        <v>34</v>
      </c>
      <c r="C32" s="5">
        <v>8</v>
      </c>
      <c r="D32" s="5">
        <v>5</v>
      </c>
      <c r="E32" s="5">
        <v>0</v>
      </c>
      <c r="F32" s="5">
        <v>0</v>
      </c>
      <c r="G32" s="5">
        <v>-3</v>
      </c>
      <c r="H32" s="5">
        <v>3</v>
      </c>
    </row>
    <row r="33" spans="1:8" x14ac:dyDescent="0.25">
      <c r="A33" s="3" t="s">
        <v>67</v>
      </c>
      <c r="B33" s="5">
        <v>26</v>
      </c>
      <c r="C33" s="5">
        <v>9</v>
      </c>
      <c r="D33" s="5">
        <v>6</v>
      </c>
      <c r="E33" s="5">
        <v>0</v>
      </c>
      <c r="F33" s="5">
        <v>0</v>
      </c>
      <c r="G33" s="5">
        <v>-4</v>
      </c>
      <c r="H33" s="5">
        <v>2</v>
      </c>
    </row>
    <row r="34" spans="1:8" x14ac:dyDescent="0.25">
      <c r="A34" s="3" t="s">
        <v>63</v>
      </c>
      <c r="B34" s="5">
        <v>25</v>
      </c>
      <c r="C34" s="5">
        <v>4</v>
      </c>
      <c r="D34" s="5">
        <v>5</v>
      </c>
      <c r="E34" s="5">
        <v>0</v>
      </c>
      <c r="F34" s="5">
        <v>0</v>
      </c>
      <c r="G34" s="5">
        <v>-4</v>
      </c>
      <c r="H34" s="5">
        <v>0</v>
      </c>
    </row>
    <row r="35" spans="1:8" x14ac:dyDescent="0.25">
      <c r="A35" s="3" t="s">
        <v>78</v>
      </c>
      <c r="B35" s="5">
        <v>25</v>
      </c>
      <c r="C35" s="5">
        <v>6</v>
      </c>
      <c r="D35" s="5">
        <v>5</v>
      </c>
      <c r="E35" s="5">
        <v>0</v>
      </c>
      <c r="F35" s="5">
        <v>0</v>
      </c>
      <c r="G35" s="5">
        <v>-3</v>
      </c>
      <c r="H35" s="5">
        <v>2</v>
      </c>
    </row>
    <row r="36" spans="1:8" x14ac:dyDescent="0.25">
      <c r="A36" s="3" t="s">
        <v>64</v>
      </c>
      <c r="B36" s="5">
        <v>24</v>
      </c>
      <c r="C36" s="5">
        <v>4</v>
      </c>
      <c r="D36" s="5">
        <v>5</v>
      </c>
      <c r="E36" s="5">
        <v>0</v>
      </c>
      <c r="F36" s="5">
        <v>0</v>
      </c>
      <c r="G36" s="5">
        <v>-5</v>
      </c>
      <c r="H36" s="5">
        <v>0</v>
      </c>
    </row>
    <row r="37" spans="1:8" x14ac:dyDescent="0.25">
      <c r="A37" s="3" t="s">
        <v>38</v>
      </c>
      <c r="B37" s="5">
        <v>22</v>
      </c>
      <c r="C37" s="5">
        <v>7</v>
      </c>
      <c r="D37" s="5">
        <v>6</v>
      </c>
      <c r="E37" s="5">
        <v>0</v>
      </c>
      <c r="F37" s="5">
        <v>0</v>
      </c>
      <c r="G37" s="5">
        <v>-2</v>
      </c>
      <c r="H37" s="5">
        <v>3</v>
      </c>
    </row>
    <row r="38" spans="1:8" x14ac:dyDescent="0.25">
      <c r="A38" s="3" t="s">
        <v>65</v>
      </c>
      <c r="B38" s="5">
        <v>21</v>
      </c>
      <c r="C38" s="5">
        <v>6</v>
      </c>
      <c r="D38" s="5">
        <v>7</v>
      </c>
      <c r="E38" s="5">
        <v>0</v>
      </c>
      <c r="F38" s="5">
        <v>0</v>
      </c>
      <c r="G38" s="5">
        <v>-4</v>
      </c>
      <c r="H38" s="5">
        <v>1</v>
      </c>
    </row>
    <row r="39" spans="1:8" x14ac:dyDescent="0.25">
      <c r="A39" s="3" t="s">
        <v>112</v>
      </c>
      <c r="B39" s="5">
        <v>20</v>
      </c>
      <c r="C39" s="5">
        <v>3</v>
      </c>
      <c r="D39" s="5">
        <v>4</v>
      </c>
      <c r="E39" s="5">
        <v>0</v>
      </c>
      <c r="F39" s="5">
        <v>0</v>
      </c>
      <c r="G39" s="5">
        <v>-3</v>
      </c>
      <c r="H39" s="5">
        <v>-1</v>
      </c>
    </row>
    <row r="40" spans="1:8" x14ac:dyDescent="0.25">
      <c r="A40" s="3" t="s">
        <v>40</v>
      </c>
      <c r="B40" s="5">
        <v>18</v>
      </c>
      <c r="C40" s="5">
        <v>5</v>
      </c>
      <c r="D40" s="5">
        <v>5</v>
      </c>
      <c r="E40" s="5">
        <v>0</v>
      </c>
      <c r="F40" s="5">
        <v>0</v>
      </c>
      <c r="G40" s="5">
        <v>-4</v>
      </c>
      <c r="H40" s="5">
        <v>2</v>
      </c>
    </row>
    <row r="41" spans="1:8" x14ac:dyDescent="0.25">
      <c r="A41" s="3" t="s">
        <v>79</v>
      </c>
      <c r="B41" s="5">
        <v>13</v>
      </c>
      <c r="C41" s="5">
        <v>6</v>
      </c>
      <c r="D41" s="5">
        <v>8</v>
      </c>
      <c r="E41" s="5">
        <v>0</v>
      </c>
      <c r="F41" s="5">
        <v>0</v>
      </c>
      <c r="G41" s="5">
        <v>-1</v>
      </c>
      <c r="H41" s="5">
        <v>0</v>
      </c>
    </row>
    <row r="42" spans="1:8" x14ac:dyDescent="0.25">
      <c r="A42" s="3" t="s">
        <v>104</v>
      </c>
      <c r="B42" s="5">
        <v>13</v>
      </c>
      <c r="C42" s="5">
        <v>4</v>
      </c>
      <c r="D42" s="5">
        <v>7</v>
      </c>
      <c r="E42" s="5">
        <v>0</v>
      </c>
      <c r="F42" s="5">
        <v>0</v>
      </c>
      <c r="G42" s="5">
        <v>-3</v>
      </c>
      <c r="H42" s="5">
        <v>1</v>
      </c>
    </row>
    <row r="43" spans="1:8" x14ac:dyDescent="0.25">
      <c r="A43" s="3" t="s">
        <v>87</v>
      </c>
      <c r="B43" s="5">
        <v>12</v>
      </c>
      <c r="C43" s="5">
        <v>2</v>
      </c>
      <c r="D43" s="5">
        <v>5</v>
      </c>
      <c r="E43" s="5">
        <v>0</v>
      </c>
      <c r="F43" s="5">
        <v>0</v>
      </c>
      <c r="G43" s="5">
        <v>0</v>
      </c>
      <c r="H43" s="5">
        <v>1</v>
      </c>
    </row>
    <row r="44" spans="1:8" x14ac:dyDescent="0.25">
      <c r="A44" s="3" t="s">
        <v>52</v>
      </c>
      <c r="B44" s="5">
        <v>12</v>
      </c>
      <c r="C44" s="5">
        <v>7</v>
      </c>
      <c r="D44" s="5">
        <v>8</v>
      </c>
      <c r="E44" s="5">
        <v>0</v>
      </c>
      <c r="F44" s="5">
        <v>0</v>
      </c>
      <c r="G44" s="5">
        <v>-2</v>
      </c>
      <c r="H44" s="5">
        <v>1</v>
      </c>
    </row>
    <row r="45" spans="1:8" x14ac:dyDescent="0.25">
      <c r="A45" s="3" t="s">
        <v>114</v>
      </c>
      <c r="B45" s="5">
        <v>10</v>
      </c>
      <c r="C45" s="5">
        <v>2</v>
      </c>
      <c r="D45" s="5">
        <v>6</v>
      </c>
      <c r="E45" s="5">
        <v>0</v>
      </c>
      <c r="F45" s="5">
        <v>0</v>
      </c>
      <c r="G45" s="5">
        <v>-5</v>
      </c>
      <c r="H45" s="5">
        <v>0</v>
      </c>
    </row>
    <row r="46" spans="1:8" x14ac:dyDescent="0.25">
      <c r="A46" s="3" t="s">
        <v>82</v>
      </c>
      <c r="B46" s="5">
        <v>9</v>
      </c>
      <c r="C46" s="5">
        <v>3</v>
      </c>
      <c r="D46" s="5">
        <v>7</v>
      </c>
      <c r="E46" s="5">
        <v>0</v>
      </c>
      <c r="F46" s="5">
        <v>0</v>
      </c>
      <c r="G46" s="5">
        <v>-3</v>
      </c>
      <c r="H46" s="5">
        <v>2</v>
      </c>
    </row>
    <row r="47" spans="1:8" x14ac:dyDescent="0.25">
      <c r="A47" s="3" t="s">
        <v>88</v>
      </c>
      <c r="B47" s="5">
        <v>8</v>
      </c>
      <c r="C47" s="5">
        <v>2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</row>
    <row r="48" spans="1:8" x14ac:dyDescent="0.25">
      <c r="A48" s="3" t="s">
        <v>53</v>
      </c>
      <c r="B48" s="5">
        <v>8</v>
      </c>
      <c r="C48" s="5">
        <v>2</v>
      </c>
      <c r="D48" s="5">
        <v>7</v>
      </c>
      <c r="E48" s="5">
        <v>0</v>
      </c>
      <c r="F48" s="5">
        <v>0</v>
      </c>
      <c r="G48" s="5">
        <v>-4</v>
      </c>
      <c r="H48" s="5">
        <v>0</v>
      </c>
    </row>
    <row r="49" spans="1:8" x14ac:dyDescent="0.25">
      <c r="A49" s="3" t="s">
        <v>111</v>
      </c>
      <c r="B49" s="5">
        <v>7</v>
      </c>
      <c r="C49" s="5">
        <v>3</v>
      </c>
      <c r="D49" s="5">
        <v>7</v>
      </c>
      <c r="E49" s="5">
        <v>0</v>
      </c>
      <c r="F49" s="5">
        <v>0</v>
      </c>
      <c r="G49" s="5">
        <v>-2</v>
      </c>
      <c r="H49" s="5">
        <v>-1</v>
      </c>
    </row>
    <row r="50" spans="1:8" x14ac:dyDescent="0.25">
      <c r="A50" s="3" t="s">
        <v>89</v>
      </c>
      <c r="B50" s="5">
        <v>7</v>
      </c>
      <c r="C50" s="5">
        <v>3</v>
      </c>
      <c r="D50" s="5">
        <v>8</v>
      </c>
      <c r="E50" s="5">
        <v>0</v>
      </c>
      <c r="F50" s="5">
        <v>0</v>
      </c>
      <c r="G50" s="5">
        <v>-2</v>
      </c>
      <c r="H50" s="5">
        <v>0</v>
      </c>
    </row>
    <row r="51" spans="1:8" x14ac:dyDescent="0.25">
      <c r="A51" s="3" t="s">
        <v>93</v>
      </c>
      <c r="B51" s="5">
        <v>4</v>
      </c>
      <c r="C51" s="5">
        <v>1</v>
      </c>
      <c r="D51" s="5">
        <v>7</v>
      </c>
      <c r="E51" s="5">
        <v>0</v>
      </c>
      <c r="F51" s="5">
        <v>0</v>
      </c>
      <c r="G51" s="5">
        <v>-4</v>
      </c>
      <c r="H51" s="5">
        <v>-4</v>
      </c>
    </row>
    <row r="52" spans="1:8" x14ac:dyDescent="0.25">
      <c r="A52" s="3" t="s">
        <v>84</v>
      </c>
      <c r="B52" s="5">
        <v>2</v>
      </c>
      <c r="C52" s="5">
        <v>2</v>
      </c>
      <c r="D52" s="5">
        <v>10</v>
      </c>
      <c r="E52" s="5">
        <v>0</v>
      </c>
      <c r="F52" s="5">
        <v>0</v>
      </c>
      <c r="G52" s="5">
        <v>-1</v>
      </c>
      <c r="H52" s="5">
        <v>0</v>
      </c>
    </row>
    <row r="53" spans="1:8" x14ac:dyDescent="0.25">
      <c r="A53" s="3" t="s">
        <v>43</v>
      </c>
      <c r="B53" s="5">
        <v>2</v>
      </c>
      <c r="C53" s="5">
        <v>2</v>
      </c>
      <c r="D53" s="5">
        <v>10</v>
      </c>
      <c r="E53" s="5">
        <v>0</v>
      </c>
      <c r="F53" s="5">
        <v>0</v>
      </c>
      <c r="G53" s="5">
        <v>-1</v>
      </c>
      <c r="H53" s="5">
        <v>0</v>
      </c>
    </row>
    <row r="54" spans="1:8" x14ac:dyDescent="0.25">
      <c r="A54" s="3" t="s">
        <v>115</v>
      </c>
      <c r="B54" s="5">
        <v>1</v>
      </c>
      <c r="C54" s="5">
        <v>1</v>
      </c>
      <c r="D54" s="5">
        <v>10</v>
      </c>
      <c r="E54" s="5">
        <v>0</v>
      </c>
      <c r="F54" s="5">
        <v>0</v>
      </c>
      <c r="G54" s="5">
        <v>-1</v>
      </c>
      <c r="H54" s="5">
        <v>-1</v>
      </c>
    </row>
    <row r="55" spans="1:8" x14ac:dyDescent="0.25">
      <c r="A55" s="3" t="s">
        <v>90</v>
      </c>
      <c r="B55" s="5">
        <v>1</v>
      </c>
      <c r="C55" s="5">
        <v>1</v>
      </c>
      <c r="D55" s="5">
        <v>10</v>
      </c>
      <c r="E55" s="5">
        <v>0</v>
      </c>
      <c r="F55" s="5">
        <v>0</v>
      </c>
      <c r="G55" s="5">
        <v>-1</v>
      </c>
      <c r="H55" s="5">
        <v>-1</v>
      </c>
    </row>
    <row r="56" spans="1:8" x14ac:dyDescent="0.25">
      <c r="A56" s="3" t="s">
        <v>1</v>
      </c>
      <c r="B56" s="5">
        <v>3040</v>
      </c>
      <c r="C56" s="5">
        <v>380</v>
      </c>
      <c r="D56" s="5">
        <v>1</v>
      </c>
      <c r="E56" s="5">
        <v>38</v>
      </c>
      <c r="F56" s="5">
        <v>114</v>
      </c>
      <c r="G56" s="5">
        <v>-10</v>
      </c>
      <c r="H56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Anual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Guerrero Montero</dc:creator>
  <cp:lastModifiedBy>Danilo Guerrero Montero</cp:lastModifiedBy>
  <dcterms:created xsi:type="dcterms:W3CDTF">2024-11-08T14:17:22Z</dcterms:created>
  <dcterms:modified xsi:type="dcterms:W3CDTF">2024-12-29T22:40:06Z</dcterms:modified>
</cp:coreProperties>
</file>